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drawings/drawing2.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6.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831"/>
  <workbookPr/>
  <mc:AlternateContent xmlns:mc="http://schemas.openxmlformats.org/markup-compatibility/2006">
    <mc:Choice Requires="x15">
      <x15ac:absPath xmlns:x15ac="http://schemas.microsoft.com/office/spreadsheetml/2010/11/ac" url="https://karnatakadigital-my.sharepoint.com/personal/ra1_karnatakadigital_in/Documents/Desktop/DE Numbers and Annual Plan/Data Validation/Finalized numbers/"/>
    </mc:Choice>
  </mc:AlternateContent>
  <xr:revisionPtr revIDLastSave="382" documentId="13_ncr:1_{F66C201B-4EC0-4536-8626-4F1AEAF193AB}" xr6:coauthVersionLast="47" xr6:coauthVersionMax="47" xr10:uidLastSave="{6F64D811-F304-4756-96E6-CDCB90621080}"/>
  <bookViews>
    <workbookView xWindow="-28920" yWindow="-120" windowWidth="29040" windowHeight="15720" firstSheet="4" activeTab="7" xr2:uid="{00000000-000D-0000-FFFF-FFFF00000000}"/>
  </bookViews>
  <sheets>
    <sheet name="Assumptions" sheetId="11" r:id="rId1"/>
    <sheet name="Estimation of Revenue" sheetId="7" r:id="rId2"/>
    <sheet name="Final Employment Estimation" sheetId="12" r:id="rId3"/>
    <sheet name="Beyond Bengaluru Workings" sheetId="13" r:id="rId4"/>
    <sheet name="Startups and GDP Calculation" sheetId="14" r:id="rId5"/>
    <sheet name="Sheet1" sheetId="17" r:id="rId6"/>
    <sheet name="Sheet2" sheetId="18" r:id="rId7"/>
    <sheet name="ESDM Sector" sheetId="9" r:id="rId8"/>
    <sheet name="Workings for ESDM" sheetId="10" r:id="rId9"/>
    <sheet name="Sub sector workings" sheetId="16" r:id="rId10"/>
  </sheets>
  <definedNames>
    <definedName name="_xlchart.v2.0" hidden="1">Sheet1!$D$4:$D$6</definedName>
    <definedName name="_xlchart.v2.1" hidden="1">Sheet1!$E$4:$E$6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2" i="14" l="1"/>
  <c r="I21" i="14"/>
  <c r="D21" i="14"/>
  <c r="D22" i="14" s="1"/>
  <c r="E37" i="14"/>
  <c r="F37" i="14"/>
  <c r="D37" i="14"/>
  <c r="J22" i="14"/>
  <c r="K22" i="14"/>
  <c r="L22" i="14"/>
  <c r="I22" i="14"/>
  <c r="AS9" i="7"/>
  <c r="AT9" i="7" s="1"/>
  <c r="AU9" i="7" s="1"/>
  <c r="AV9" i="7" s="1"/>
  <c r="AW9" i="7" s="1"/>
  <c r="AX9" i="7" s="1"/>
  <c r="AY9" i="7" s="1"/>
  <c r="AZ9" i="7" s="1"/>
  <c r="BA9" i="7" s="1"/>
  <c r="BB9" i="7" s="1"/>
  <c r="BC9" i="7" s="1"/>
  <c r="BD9" i="7" s="1"/>
  <c r="BE9" i="7" s="1"/>
  <c r="BF9" i="7" s="1"/>
  <c r="BG9" i="7" s="1"/>
  <c r="AR9" i="7"/>
  <c r="AS8" i="7"/>
  <c r="AT8" i="7" s="1"/>
  <c r="AU8" i="7" s="1"/>
  <c r="AV8" i="7" s="1"/>
  <c r="AW8" i="7" s="1"/>
  <c r="AX8" i="7" s="1"/>
  <c r="AY8" i="7" s="1"/>
  <c r="AZ8" i="7" s="1"/>
  <c r="BA8" i="7" s="1"/>
  <c r="BB8" i="7" s="1"/>
  <c r="BC8" i="7" s="1"/>
  <c r="BD8" i="7" s="1"/>
  <c r="BE8" i="7" s="1"/>
  <c r="BF8" i="7" s="1"/>
  <c r="BG8" i="7" s="1"/>
  <c r="AR8" i="7"/>
  <c r="AS7" i="7"/>
  <c r="AT7" i="7" s="1"/>
  <c r="AU7" i="7" s="1"/>
  <c r="AV7" i="7" s="1"/>
  <c r="AW7" i="7" s="1"/>
  <c r="AX7" i="7" s="1"/>
  <c r="AY7" i="7" s="1"/>
  <c r="AZ7" i="7" s="1"/>
  <c r="BA7" i="7" s="1"/>
  <c r="BB7" i="7" s="1"/>
  <c r="BC7" i="7" s="1"/>
  <c r="BD7" i="7" s="1"/>
  <c r="BE7" i="7" s="1"/>
  <c r="BF7" i="7" s="1"/>
  <c r="BG7" i="7" s="1"/>
  <c r="AR7" i="7"/>
  <c r="BG13" i="7"/>
  <c r="AQ11" i="7"/>
  <c r="AR11" i="7" s="1"/>
  <c r="AS11" i="7" s="1"/>
  <c r="AT11" i="7" s="1"/>
  <c r="AU11" i="7" s="1"/>
  <c r="AV11" i="7" s="1"/>
  <c r="AW11" i="7" s="1"/>
  <c r="AX11" i="7" s="1"/>
  <c r="AY11" i="7" s="1"/>
  <c r="AZ11" i="7" s="1"/>
  <c r="BA11" i="7" s="1"/>
  <c r="BB11" i="7" s="1"/>
  <c r="BC11" i="7" s="1"/>
  <c r="BD11" i="7" s="1"/>
  <c r="BE11" i="7" s="1"/>
  <c r="BF11" i="7" s="1"/>
  <c r="BG11" i="7" s="1"/>
  <c r="BF10" i="7"/>
  <c r="BG10" i="7" s="1"/>
  <c r="AS10" i="7"/>
  <c r="AT10" i="7"/>
  <c r="AU10" i="7" s="1"/>
  <c r="AV10" i="7" s="1"/>
  <c r="AW10" i="7" s="1"/>
  <c r="AX10" i="7" s="1"/>
  <c r="AY10" i="7" s="1"/>
  <c r="AZ10" i="7" s="1"/>
  <c r="BA10" i="7" s="1"/>
  <c r="BB10" i="7" s="1"/>
  <c r="BC10" i="7" s="1"/>
  <c r="BD10" i="7" s="1"/>
  <c r="BE10" i="7" s="1"/>
  <c r="AR10" i="7"/>
  <c r="M15" i="14" l="1"/>
  <c r="N15" i="14"/>
  <c r="O15" i="14"/>
  <c r="P15" i="14"/>
  <c r="Q15" i="14" s="1"/>
  <c r="R15" i="14" s="1"/>
  <c r="S15" i="14" s="1"/>
  <c r="T15" i="14" s="1"/>
  <c r="U15" i="14" s="1"/>
  <c r="V15" i="14" s="1"/>
  <c r="W15" i="14" s="1"/>
  <c r="X15" i="14" s="1"/>
  <c r="Y15" i="14" s="1"/>
  <c r="Z15" i="14" s="1"/>
  <c r="AA15" i="14" s="1"/>
  <c r="AB15" i="14" s="1"/>
  <c r="AC15" i="14" s="1"/>
  <c r="L15" i="14"/>
  <c r="K15" i="14"/>
  <c r="K16" i="14"/>
  <c r="J16" i="14"/>
  <c r="N14" i="14"/>
  <c r="O14" i="14" s="1"/>
  <c r="P14" i="14" s="1"/>
  <c r="Q14" i="14" s="1"/>
  <c r="R14" i="14" s="1"/>
  <c r="S14" i="14" s="1"/>
  <c r="T14" i="14" s="1"/>
  <c r="U14" i="14" s="1"/>
  <c r="V14" i="14" s="1"/>
  <c r="W14" i="14" s="1"/>
  <c r="X14" i="14" s="1"/>
  <c r="Y14" i="14" s="1"/>
  <c r="Z14" i="14" s="1"/>
  <c r="AA14" i="14" s="1"/>
  <c r="AB14" i="14" s="1"/>
  <c r="AC14" i="14" s="1"/>
  <c r="N10" i="14"/>
  <c r="O10" i="14"/>
  <c r="P10" i="14" s="1"/>
  <c r="Q10" i="14" s="1"/>
  <c r="R10" i="14" s="1"/>
  <c r="S10" i="14" s="1"/>
  <c r="T10" i="14" s="1"/>
  <c r="U10" i="14" s="1"/>
  <c r="V10" i="14" s="1"/>
  <c r="W10" i="14" s="1"/>
  <c r="X10" i="14" s="1"/>
  <c r="Y10" i="14" s="1"/>
  <c r="Z10" i="14" s="1"/>
  <c r="AA10" i="14" s="1"/>
  <c r="AB10" i="14" s="1"/>
  <c r="AC10" i="14" s="1"/>
  <c r="M10" i="14"/>
  <c r="Z8" i="14"/>
  <c r="AA8" i="14"/>
  <c r="AB8" i="14"/>
  <c r="AC8" i="14"/>
  <c r="O8" i="14"/>
  <c r="P8" i="14" s="1"/>
  <c r="Q8" i="14" s="1"/>
  <c r="R8" i="14" s="1"/>
  <c r="S8" i="14" s="1"/>
  <c r="T8" i="14" s="1"/>
  <c r="U8" i="14" s="1"/>
  <c r="V8" i="14" s="1"/>
  <c r="W8" i="14" s="1"/>
  <c r="X8" i="14" s="1"/>
  <c r="Y8" i="14" s="1"/>
  <c r="N8" i="14"/>
  <c r="M8" i="14"/>
  <c r="AN10" i="7"/>
  <c r="AH10" i="7"/>
  <c r="AE10" i="7"/>
  <c r="AB10" i="7"/>
  <c r="V10" i="7"/>
  <c r="S10" i="7"/>
  <c r="AC3" i="7"/>
  <c r="AB3" i="7"/>
  <c r="AA2" i="7"/>
  <c r="AD10" i="7"/>
  <c r="AG10" i="7" s="1"/>
  <c r="AJ10" i="7" s="1"/>
  <c r="Q85" i="7"/>
  <c r="R85" i="7"/>
  <c r="S85" i="7"/>
  <c r="T85" i="7" s="1"/>
  <c r="U85" i="7" s="1"/>
  <c r="V85" i="7" s="1"/>
  <c r="W85" i="7" s="1"/>
  <c r="X85" i="7" s="1"/>
  <c r="Y85" i="7" s="1"/>
  <c r="P85" i="7"/>
  <c r="O85" i="7"/>
  <c r="E32" i="12"/>
  <c r="H32" i="12"/>
  <c r="K32" i="12"/>
  <c r="N32" i="12"/>
  <c r="Q32" i="12"/>
  <c r="T32" i="12"/>
  <c r="W32" i="12"/>
  <c r="Z32" i="12"/>
  <c r="AC32" i="12"/>
  <c r="AF32" i="12"/>
  <c r="E35" i="12"/>
  <c r="F35" i="12"/>
  <c r="G35" i="12"/>
  <c r="H35" i="12"/>
  <c r="I35" i="12"/>
  <c r="J35" i="12"/>
  <c r="K35" i="12"/>
  <c r="L35" i="12"/>
  <c r="M35" i="12"/>
  <c r="N35" i="12"/>
  <c r="O35" i="12"/>
  <c r="P35" i="12"/>
  <c r="Q35" i="12"/>
  <c r="R35" i="12"/>
  <c r="S35" i="12"/>
  <c r="T35" i="12"/>
  <c r="U35" i="12"/>
  <c r="V35" i="12"/>
  <c r="W35" i="12"/>
  <c r="X35" i="12"/>
  <c r="Y35" i="12"/>
  <c r="Z35" i="12"/>
  <c r="AA35" i="12"/>
  <c r="AB35" i="12"/>
  <c r="AC35" i="12"/>
  <c r="AD35" i="12"/>
  <c r="AE35" i="12"/>
  <c r="AF35" i="12"/>
  <c r="D35" i="12"/>
  <c r="O36" i="7"/>
  <c r="N36" i="7"/>
  <c r="E20" i="14"/>
  <c r="F20" i="14"/>
  <c r="G20" i="14"/>
  <c r="H20" i="14"/>
  <c r="I20" i="14"/>
  <c r="J20" i="14"/>
  <c r="K20" i="14"/>
  <c r="L20" i="14"/>
  <c r="J18" i="14"/>
  <c r="K18" i="14"/>
  <c r="L18" i="14"/>
  <c r="I18" i="14"/>
  <c r="G18" i="14"/>
  <c r="F18" i="14"/>
  <c r="E18" i="14"/>
  <c r="D20" i="14" l="1"/>
  <c r="H18" i="14"/>
  <c r="D18" i="14"/>
  <c r="H17" i="14"/>
  <c r="D17" i="14"/>
  <c r="E10" i="14"/>
  <c r="F10" i="14" s="1"/>
  <c r="G10" i="14" s="1"/>
  <c r="H10" i="14" s="1"/>
  <c r="I10" i="14" s="1"/>
  <c r="J10" i="14" s="1"/>
  <c r="K10" i="14" s="1"/>
  <c r="L10" i="14" s="1"/>
  <c r="H9" i="13"/>
  <c r="G9" i="13"/>
  <c r="F9" i="13"/>
  <c r="E9" i="13"/>
  <c r="AM10" i="7"/>
  <c r="AL10" i="7"/>
  <c r="AI10" i="7"/>
  <c r="AF10" i="7"/>
  <c r="AC10" i="7"/>
  <c r="AA10" i="7"/>
  <c r="Z10" i="7"/>
  <c r="X10" i="7"/>
  <c r="W10" i="7"/>
  <c r="U10" i="7"/>
  <c r="T10" i="7"/>
  <c r="R10" i="7"/>
  <c r="Q10" i="7"/>
  <c r="O10" i="7"/>
  <c r="N10" i="7"/>
  <c r="N8" i="7"/>
  <c r="Q8" i="7" s="1"/>
  <c r="T8" i="7" s="1"/>
  <c r="W8" i="7" s="1"/>
  <c r="Z8" i="7" s="1"/>
  <c r="AC8" i="7" s="1"/>
  <c r="AF8" i="7" s="1"/>
  <c r="AI8" i="7" s="1"/>
  <c r="AL8" i="7" s="1"/>
  <c r="AM13" i="7" l="1"/>
  <c r="AM14" i="7"/>
  <c r="AM15" i="7"/>
  <c r="AM16" i="7"/>
  <c r="AM17" i="7"/>
  <c r="AM18" i="7"/>
  <c r="AM19" i="7"/>
  <c r="AM20" i="7"/>
  <c r="AM21" i="7"/>
  <c r="AM22" i="7"/>
  <c r="AM23" i="7"/>
  <c r="AM24" i="7"/>
  <c r="AM25" i="7"/>
  <c r="AM26" i="7"/>
  <c r="AM27" i="7"/>
  <c r="AM28" i="7"/>
  <c r="AM12" i="7"/>
  <c r="AL13" i="7"/>
  <c r="AL14" i="7"/>
  <c r="AL15" i="7"/>
  <c r="AL16" i="7"/>
  <c r="AL17" i="7"/>
  <c r="AL18" i="7"/>
  <c r="AL19" i="7"/>
  <c r="AL20" i="7"/>
  <c r="AL21" i="7"/>
  <c r="AL22" i="7"/>
  <c r="AL23" i="7"/>
  <c r="AL24" i="7"/>
  <c r="AL25" i="7"/>
  <c r="AL26" i="7"/>
  <c r="AL27" i="7"/>
  <c r="AL28" i="7"/>
  <c r="AL12" i="7"/>
  <c r="AJ13" i="7"/>
  <c r="AJ14" i="7"/>
  <c r="AJ15" i="7"/>
  <c r="AJ16" i="7"/>
  <c r="AJ17" i="7"/>
  <c r="AJ18" i="7"/>
  <c r="AJ19" i="7"/>
  <c r="AJ20" i="7"/>
  <c r="AJ21" i="7"/>
  <c r="AJ22" i="7"/>
  <c r="AJ23" i="7"/>
  <c r="AJ24" i="7"/>
  <c r="AJ25" i="7"/>
  <c r="AJ26" i="7"/>
  <c r="AJ27" i="7"/>
  <c r="AJ28" i="7"/>
  <c r="AJ12" i="7"/>
  <c r="AI13" i="7"/>
  <c r="AI14" i="7"/>
  <c r="AI15" i="7"/>
  <c r="AI16" i="7"/>
  <c r="AI17" i="7"/>
  <c r="AI18" i="7"/>
  <c r="AI19" i="7"/>
  <c r="AI20" i="7"/>
  <c r="AI21" i="7"/>
  <c r="AI22" i="7"/>
  <c r="AI23" i="7"/>
  <c r="AI24" i="7"/>
  <c r="AI25" i="7"/>
  <c r="AI26" i="7"/>
  <c r="AI27" i="7"/>
  <c r="AI28" i="7"/>
  <c r="AI12" i="7"/>
  <c r="AG13" i="7"/>
  <c r="AG14" i="7"/>
  <c r="AG15" i="7"/>
  <c r="AG16" i="7"/>
  <c r="AG17" i="7"/>
  <c r="AG18" i="7"/>
  <c r="AG19" i="7"/>
  <c r="AG20" i="7"/>
  <c r="AG21" i="7"/>
  <c r="AG22" i="7"/>
  <c r="AG23" i="7"/>
  <c r="AG24" i="7"/>
  <c r="AG25" i="7"/>
  <c r="AG26" i="7"/>
  <c r="AG27" i="7"/>
  <c r="AG28" i="7"/>
  <c r="AG12" i="7"/>
  <c r="AF13" i="7"/>
  <c r="AF14" i="7"/>
  <c r="AF15" i="7"/>
  <c r="AF16" i="7"/>
  <c r="AF17" i="7"/>
  <c r="AF18" i="7"/>
  <c r="AF19" i="7"/>
  <c r="AF20" i="7"/>
  <c r="AF21" i="7"/>
  <c r="AF22" i="7"/>
  <c r="AF23" i="7"/>
  <c r="AF24" i="7"/>
  <c r="AF25" i="7"/>
  <c r="AF26" i="7"/>
  <c r="AF27" i="7"/>
  <c r="AF28" i="7"/>
  <c r="AF12" i="7"/>
  <c r="AD13" i="7"/>
  <c r="AD14" i="7"/>
  <c r="AD15" i="7"/>
  <c r="AD16" i="7"/>
  <c r="AD17" i="7"/>
  <c r="AD18" i="7"/>
  <c r="AD19" i="7"/>
  <c r="AD20" i="7"/>
  <c r="AD21" i="7"/>
  <c r="AD22" i="7"/>
  <c r="AD23" i="7"/>
  <c r="AD24" i="7"/>
  <c r="AD25" i="7"/>
  <c r="AD26" i="7"/>
  <c r="AD27" i="7"/>
  <c r="AD28" i="7"/>
  <c r="AD12" i="7"/>
  <c r="AC13" i="7"/>
  <c r="AC14" i="7"/>
  <c r="AC15" i="7"/>
  <c r="AC16" i="7"/>
  <c r="AC17" i="7"/>
  <c r="AC18" i="7"/>
  <c r="AC19" i="7"/>
  <c r="AC20" i="7"/>
  <c r="AC21" i="7"/>
  <c r="AC22" i="7"/>
  <c r="AC23" i="7"/>
  <c r="AC24" i="7"/>
  <c r="AC25" i="7"/>
  <c r="AC26" i="7"/>
  <c r="AC27" i="7"/>
  <c r="AC28" i="7"/>
  <c r="AC12" i="7"/>
  <c r="Z13" i="7"/>
  <c r="Z14" i="7"/>
  <c r="Z15" i="7"/>
  <c r="Z16" i="7"/>
  <c r="Z17" i="7"/>
  <c r="Z18" i="7"/>
  <c r="Z19" i="7"/>
  <c r="Z20" i="7"/>
  <c r="Z21" i="7"/>
  <c r="Z22" i="7"/>
  <c r="Z23" i="7"/>
  <c r="Z24" i="7"/>
  <c r="Z25" i="7"/>
  <c r="Z26" i="7"/>
  <c r="Z27" i="7"/>
  <c r="Z28" i="7"/>
  <c r="Z12" i="7"/>
  <c r="AA13" i="7"/>
  <c r="AA14" i="7"/>
  <c r="AA15" i="7"/>
  <c r="AA16" i="7"/>
  <c r="AA17" i="7"/>
  <c r="AA18" i="7"/>
  <c r="AA19" i="7"/>
  <c r="AA20" i="7"/>
  <c r="AA21" i="7"/>
  <c r="AA22" i="7"/>
  <c r="AA23" i="7"/>
  <c r="AA24" i="7"/>
  <c r="AA25" i="7"/>
  <c r="AA26" i="7"/>
  <c r="AA27" i="7"/>
  <c r="AA28" i="7"/>
  <c r="AA12" i="7"/>
  <c r="AN9" i="7" l="1"/>
  <c r="AM9" i="7"/>
  <c r="AK9" i="7"/>
  <c r="AJ9" i="7"/>
  <c r="AH9" i="7"/>
  <c r="AG9" i="7"/>
  <c r="AE9" i="7"/>
  <c r="AD9" i="7"/>
  <c r="AB9" i="7"/>
  <c r="AA9" i="7"/>
  <c r="Y9" i="7"/>
  <c r="X9" i="7"/>
  <c r="V9" i="7"/>
  <c r="U9" i="7"/>
  <c r="S9" i="7"/>
  <c r="R9" i="7"/>
  <c r="P9" i="7"/>
  <c r="O9" i="7"/>
  <c r="AM27" i="9"/>
  <c r="AL27" i="9"/>
  <c r="AJ27" i="9"/>
  <c r="AI27" i="9"/>
  <c r="AG27" i="9"/>
  <c r="AF27" i="9"/>
  <c r="AD27" i="9"/>
  <c r="AC27" i="9"/>
  <c r="AA27" i="9"/>
  <c r="Z27" i="9"/>
  <c r="N26" i="7" l="1"/>
  <c r="Q26" i="7" s="1"/>
  <c r="T26" i="7" s="1"/>
  <c r="W26" i="7" s="1"/>
  <c r="E26" i="7"/>
  <c r="O26" i="7" s="1"/>
  <c r="R26" i="7" s="1"/>
  <c r="U26" i="7" s="1"/>
  <c r="X26" i="7" s="1"/>
  <c r="E25" i="7"/>
  <c r="O25" i="7" s="1"/>
  <c r="R25" i="7" s="1"/>
  <c r="U25" i="7" s="1"/>
  <c r="X25" i="7" s="1"/>
  <c r="N25" i="7"/>
  <c r="Q25" i="7" s="1"/>
  <c r="T25" i="7" s="1"/>
  <c r="W25" i="7" s="1"/>
  <c r="N27" i="7" l="1"/>
  <c r="Q27" i="7" s="1"/>
  <c r="T27" i="7" s="1"/>
  <c r="W27" i="7" s="1"/>
  <c r="E27" i="7"/>
  <c r="G27" i="7" s="1"/>
  <c r="N28" i="7"/>
  <c r="Q28" i="7" s="1"/>
  <c r="T28" i="7" s="1"/>
  <c r="W28" i="7" s="1"/>
  <c r="E28" i="7"/>
  <c r="G28" i="7" s="1"/>
  <c r="N24" i="7"/>
  <c r="Q24" i="7" s="1"/>
  <c r="T24" i="7" s="1"/>
  <c r="W24" i="7" s="1"/>
  <c r="E24" i="7"/>
  <c r="N23" i="7"/>
  <c r="Q23" i="7" s="1"/>
  <c r="T23" i="7" s="1"/>
  <c r="W23" i="7" s="1"/>
  <c r="E23" i="7"/>
  <c r="G23" i="7" s="1"/>
  <c r="N22" i="7"/>
  <c r="Q22" i="7" s="1"/>
  <c r="E22" i="7"/>
  <c r="G22" i="7" s="1"/>
  <c r="N21" i="7"/>
  <c r="Q21" i="7" s="1"/>
  <c r="T21" i="7" s="1"/>
  <c r="W21" i="7" s="1"/>
  <c r="E21" i="7"/>
  <c r="G21" i="7" s="1"/>
  <c r="E20" i="7"/>
  <c r="O20" i="7" s="1"/>
  <c r="R20" i="7" s="1"/>
  <c r="U20" i="7" s="1"/>
  <c r="X20" i="7" s="1"/>
  <c r="N20" i="7"/>
  <c r="Q20" i="7" s="1"/>
  <c r="T20" i="7" s="1"/>
  <c r="W20" i="7" s="1"/>
  <c r="E19" i="7"/>
  <c r="G19" i="7" s="1"/>
  <c r="N19" i="7"/>
  <c r="Q19" i="7" s="1"/>
  <c r="T19" i="7" s="1"/>
  <c r="W19" i="7" s="1"/>
  <c r="N18" i="7"/>
  <c r="Q18" i="7" s="1"/>
  <c r="T18" i="7" s="1"/>
  <c r="W18" i="7" s="1"/>
  <c r="E18" i="7"/>
  <c r="G18" i="7" s="1"/>
  <c r="E17" i="7"/>
  <c r="G17" i="7" s="1"/>
  <c r="N17" i="7"/>
  <c r="Q17" i="7" s="1"/>
  <c r="T17" i="7" s="1"/>
  <c r="W17" i="7" s="1"/>
  <c r="E16" i="7"/>
  <c r="G16" i="7" s="1"/>
  <c r="N16" i="7"/>
  <c r="Q16" i="7" s="1"/>
  <c r="T16" i="7" s="1"/>
  <c r="W16" i="7" s="1"/>
  <c r="N15" i="7"/>
  <c r="Q15" i="7" s="1"/>
  <c r="T15" i="7" s="1"/>
  <c r="W15" i="7" s="1"/>
  <c r="E15" i="7"/>
  <c r="G15" i="7" s="1"/>
  <c r="D23" i="10"/>
  <c r="N14" i="7"/>
  <c r="Q14" i="7" s="1"/>
  <c r="T14" i="7" s="1"/>
  <c r="W14" i="7" s="1"/>
  <c r="E14" i="7"/>
  <c r="G14" i="7" s="1"/>
  <c r="F18" i="16"/>
  <c r="D17" i="16"/>
  <c r="F16" i="16"/>
  <c r="D16" i="16"/>
  <c r="N13" i="7"/>
  <c r="Q13" i="7" s="1"/>
  <c r="T13" i="7" s="1"/>
  <c r="W13" i="7" s="1"/>
  <c r="AB25" i="7"/>
  <c r="AB26" i="7"/>
  <c r="E13" i="7"/>
  <c r="G13" i="7" s="1"/>
  <c r="F11" i="16"/>
  <c r="F9" i="16"/>
  <c r="D9" i="16"/>
  <c r="D8" i="16"/>
  <c r="F7" i="16"/>
  <c r="D7" i="16"/>
  <c r="N12" i="7"/>
  <c r="Q12" i="7" s="1"/>
  <c r="T12" i="7" s="1"/>
  <c r="W12" i="7" s="1"/>
  <c r="E12" i="7"/>
  <c r="G12" i="7" s="1"/>
  <c r="F29" i="7"/>
  <c r="H29" i="7"/>
  <c r="F14" i="14"/>
  <c r="G14" i="14" s="1"/>
  <c r="H14" i="14" s="1"/>
  <c r="I14" i="14" s="1"/>
  <c r="J14" i="14" s="1"/>
  <c r="K14" i="14" s="1"/>
  <c r="L14" i="14" s="1"/>
  <c r="M14" i="14" s="1"/>
  <c r="AB21" i="7" l="1"/>
  <c r="AB27" i="7"/>
  <c r="I18" i="7"/>
  <c r="I21" i="7"/>
  <c r="O19" i="7"/>
  <c r="R19" i="7" s="1"/>
  <c r="U19" i="7" s="1"/>
  <c r="X19" i="7" s="1"/>
  <c r="I28" i="7"/>
  <c r="O17" i="7"/>
  <c r="R17" i="7" s="1"/>
  <c r="U17" i="7" s="1"/>
  <c r="X17" i="7" s="1"/>
  <c r="O22" i="7"/>
  <c r="P22" i="7" s="1"/>
  <c r="O28" i="7"/>
  <c r="R28" i="7" s="1"/>
  <c r="U28" i="7" s="1"/>
  <c r="X28" i="7" s="1"/>
  <c r="O23" i="7"/>
  <c r="R23" i="7" s="1"/>
  <c r="U23" i="7" s="1"/>
  <c r="X23" i="7" s="1"/>
  <c r="O21" i="7"/>
  <c r="R21" i="7" s="1"/>
  <c r="U21" i="7" s="1"/>
  <c r="X21" i="7" s="1"/>
  <c r="O27" i="7"/>
  <c r="R27" i="7" s="1"/>
  <c r="U27" i="7" s="1"/>
  <c r="X27" i="7" s="1"/>
  <c r="T22" i="7"/>
  <c r="W22" i="7" s="1"/>
  <c r="O24" i="7"/>
  <c r="P24" i="7" s="1"/>
  <c r="G24" i="7"/>
  <c r="I24" i="7" s="1"/>
  <c r="I27" i="7"/>
  <c r="O12" i="7"/>
  <c r="R12" i="7" s="1"/>
  <c r="U12" i="7" s="1"/>
  <c r="X12" i="7" s="1"/>
  <c r="O14" i="7"/>
  <c r="R14" i="7" s="1"/>
  <c r="U14" i="7" s="1"/>
  <c r="X14" i="7" s="1"/>
  <c r="O15" i="7"/>
  <c r="R15" i="7" s="1"/>
  <c r="U15" i="7" s="1"/>
  <c r="X15" i="7" s="1"/>
  <c r="O16" i="7"/>
  <c r="R16" i="7" s="1"/>
  <c r="U16" i="7" s="1"/>
  <c r="X16" i="7" s="1"/>
  <c r="O18" i="7"/>
  <c r="R18" i="7" s="1"/>
  <c r="U18" i="7" s="1"/>
  <c r="X18" i="7" s="1"/>
  <c r="Y18" i="7" s="1"/>
  <c r="O13" i="7"/>
  <c r="R13" i="7" s="1"/>
  <c r="U13" i="7" s="1"/>
  <c r="X13" i="7" s="1"/>
  <c r="G20" i="7"/>
  <c r="I20" i="7" s="1"/>
  <c r="P26" i="7"/>
  <c r="V26" i="7"/>
  <c r="G26" i="7"/>
  <c r="I26" i="7" s="1"/>
  <c r="G25" i="7"/>
  <c r="I25" i="7" s="1"/>
  <c r="AE28" i="7"/>
  <c r="AB24" i="7"/>
  <c r="AB23" i="7"/>
  <c r="I22" i="7"/>
  <c r="I23" i="7"/>
  <c r="P21" i="7"/>
  <c r="I19" i="7"/>
  <c r="AE19" i="7"/>
  <c r="P19" i="7"/>
  <c r="AB18" i="7"/>
  <c r="P17" i="7"/>
  <c r="S17" i="7"/>
  <c r="Y26" i="7"/>
  <c r="AE26" i="7"/>
  <c r="AB19" i="7"/>
  <c r="D6" i="9"/>
  <c r="N7" i="9"/>
  <c r="C12" i="13"/>
  <c r="J8" i="14"/>
  <c r="K8" i="14" s="1"/>
  <c r="L8" i="14" s="1"/>
  <c r="E8" i="14"/>
  <c r="F8" i="14" s="1"/>
  <c r="G8" i="14" s="1"/>
  <c r="H8" i="14" s="1"/>
  <c r="C23" i="13"/>
  <c r="E10" i="7"/>
  <c r="D13" i="14" s="1"/>
  <c r="D12" i="14" s="1"/>
  <c r="G7" i="7"/>
  <c r="W25" i="9"/>
  <c r="T25" i="9"/>
  <c r="Q25" i="9"/>
  <c r="N25" i="9"/>
  <c r="D12" i="9"/>
  <c r="W24" i="9"/>
  <c r="T24" i="9"/>
  <c r="Q24" i="9"/>
  <c r="N24" i="9"/>
  <c r="D11" i="9"/>
  <c r="W23" i="9"/>
  <c r="T23" i="9"/>
  <c r="Q23" i="9"/>
  <c r="N23" i="9"/>
  <c r="D10" i="9"/>
  <c r="W22" i="9"/>
  <c r="T22" i="9"/>
  <c r="Q22" i="9"/>
  <c r="N22" i="9"/>
  <c r="D9" i="9"/>
  <c r="W21" i="9"/>
  <c r="T21" i="9"/>
  <c r="Q21" i="9"/>
  <c r="N21" i="9"/>
  <c r="D8" i="9"/>
  <c r="C12" i="10"/>
  <c r="C30" i="10"/>
  <c r="C32" i="10" s="1"/>
  <c r="D32" i="10" s="1"/>
  <c r="E32" i="10" s="1"/>
  <c r="F32" i="10" s="1"/>
  <c r="G32" i="10" s="1"/>
  <c r="H32" i="10" s="1"/>
  <c r="I32" i="10" s="1"/>
  <c r="J32" i="10" s="1"/>
  <c r="K32" i="10" s="1"/>
  <c r="L32" i="10" s="1"/>
  <c r="M32" i="10" s="1"/>
  <c r="N32" i="10" s="1"/>
  <c r="AL31" i="9" s="1"/>
  <c r="AM31" i="9" s="1"/>
  <c r="AN31" i="9" s="1"/>
  <c r="E21" i="12"/>
  <c r="E22" i="12"/>
  <c r="C21" i="12"/>
  <c r="E10" i="12"/>
  <c r="C10" i="12"/>
  <c r="C12" i="12"/>
  <c r="C9" i="12"/>
  <c r="D21" i="13" l="1"/>
  <c r="E33" i="12"/>
  <c r="D22" i="13"/>
  <c r="E34" i="12"/>
  <c r="S28" i="7"/>
  <c r="P13" i="7"/>
  <c r="E9" i="12"/>
  <c r="AB20" i="7"/>
  <c r="AH21" i="7"/>
  <c r="P18" i="7"/>
  <c r="S19" i="7"/>
  <c r="P23" i="7"/>
  <c r="P28" i="7"/>
  <c r="P16" i="7"/>
  <c r="S15" i="7"/>
  <c r="P15" i="7"/>
  <c r="R22" i="7"/>
  <c r="U22" i="7" s="1"/>
  <c r="X22" i="7" s="1"/>
  <c r="Y22" i="7" s="1"/>
  <c r="AH19" i="7"/>
  <c r="P27" i="7"/>
  <c r="AB22" i="7"/>
  <c r="S13" i="7"/>
  <c r="V14" i="7"/>
  <c r="R24" i="7"/>
  <c r="U24" i="7" s="1"/>
  <c r="P14" i="7"/>
  <c r="S26" i="7"/>
  <c r="P25" i="7"/>
  <c r="AB28" i="7"/>
  <c r="AH28" i="7"/>
  <c r="AE24" i="7"/>
  <c r="S21" i="7"/>
  <c r="S24" i="7"/>
  <c r="S22" i="7"/>
  <c r="P20" i="7"/>
  <c r="V19" i="7"/>
  <c r="S18" i="7"/>
  <c r="AE18" i="7"/>
  <c r="V18" i="7"/>
  <c r="S16" i="7"/>
  <c r="V16" i="7"/>
  <c r="V15" i="7"/>
  <c r="S14" i="7"/>
  <c r="Y21" i="7"/>
  <c r="V21" i="7"/>
  <c r="S23" i="7"/>
  <c r="V13" i="7"/>
  <c r="V17" i="7"/>
  <c r="V28" i="7"/>
  <c r="Y28" i="7"/>
  <c r="H35" i="10"/>
  <c r="Z31" i="9"/>
  <c r="AA31" i="9" s="1"/>
  <c r="AB31" i="9" s="1"/>
  <c r="Q31" i="9"/>
  <c r="R31" i="9" s="1"/>
  <c r="S31" i="9" s="1"/>
  <c r="T31" i="9"/>
  <c r="U31" i="9" s="1"/>
  <c r="V31" i="9" s="1"/>
  <c r="W31" i="9"/>
  <c r="X31" i="9" s="1"/>
  <c r="Y31" i="9" s="1"/>
  <c r="M35" i="10"/>
  <c r="AC31" i="9"/>
  <c r="AD31" i="9" s="1"/>
  <c r="AE31" i="9" s="1"/>
  <c r="AF31" i="9"/>
  <c r="AG31" i="9" s="1"/>
  <c r="AH31" i="9" s="1"/>
  <c r="D18" i="9"/>
  <c r="E18" i="9" s="1"/>
  <c r="G18" i="9" s="1"/>
  <c r="I18" i="9" s="1"/>
  <c r="AI31" i="9"/>
  <c r="AJ31" i="9" s="1"/>
  <c r="AK31" i="9" s="1"/>
  <c r="N31" i="9"/>
  <c r="O31" i="9" s="1"/>
  <c r="P31" i="9" s="1"/>
  <c r="AE27" i="7"/>
  <c r="D12" i="12"/>
  <c r="AE20" i="7"/>
  <c r="AE25" i="7"/>
  <c r="C24" i="12"/>
  <c r="C25" i="12" s="1"/>
  <c r="E12" i="12"/>
  <c r="D11" i="13" s="1"/>
  <c r="C24" i="13"/>
  <c r="D20" i="13"/>
  <c r="P74" i="7"/>
  <c r="S74" i="7" s="1"/>
  <c r="V74" i="7" s="1"/>
  <c r="Y74" i="7" s="1"/>
  <c r="AB74" i="7" s="1"/>
  <c r="AE74" i="7" s="1"/>
  <c r="AH74" i="7" s="1"/>
  <c r="AK74" i="7" s="1"/>
  <c r="AN74" i="7" s="1"/>
  <c r="P75" i="7"/>
  <c r="S75" i="7" s="1"/>
  <c r="V75" i="7" s="1"/>
  <c r="Y75" i="7" s="1"/>
  <c r="AB75" i="7" s="1"/>
  <c r="AE75" i="7" s="1"/>
  <c r="AH75" i="7" s="1"/>
  <c r="AK75" i="7" s="1"/>
  <c r="AN75" i="7" s="1"/>
  <c r="P76" i="7"/>
  <c r="S76" i="7" s="1"/>
  <c r="V76" i="7" s="1"/>
  <c r="Y76" i="7" s="1"/>
  <c r="AB76" i="7" s="1"/>
  <c r="AE76" i="7" s="1"/>
  <c r="AH76" i="7" s="1"/>
  <c r="AK76" i="7" s="1"/>
  <c r="AN76" i="7" s="1"/>
  <c r="P73" i="7"/>
  <c r="S73" i="7" s="1"/>
  <c r="V73" i="7" s="1"/>
  <c r="Y73" i="7" s="1"/>
  <c r="AB73" i="7" s="1"/>
  <c r="AE73" i="7" s="1"/>
  <c r="AH73" i="7" s="1"/>
  <c r="AK73" i="7" s="1"/>
  <c r="AN73" i="7" s="1"/>
  <c r="N74" i="7"/>
  <c r="N75" i="7"/>
  <c r="Q75" i="7" s="1"/>
  <c r="T75" i="7" s="1"/>
  <c r="W75" i="7" s="1"/>
  <c r="Z75" i="7" s="1"/>
  <c r="AC75" i="7" s="1"/>
  <c r="AF75" i="7" s="1"/>
  <c r="AI75" i="7" s="1"/>
  <c r="AL75" i="7" s="1"/>
  <c r="N76" i="7"/>
  <c r="Q76" i="7" s="1"/>
  <c r="T76" i="7" s="1"/>
  <c r="W76" i="7" s="1"/>
  <c r="Z76" i="7" s="1"/>
  <c r="AC76" i="7" s="1"/>
  <c r="AF76" i="7" s="1"/>
  <c r="AI76" i="7" s="1"/>
  <c r="AL76" i="7" s="1"/>
  <c r="N73" i="7"/>
  <c r="Q73" i="7" s="1"/>
  <c r="T73" i="7" s="1"/>
  <c r="W73" i="7" s="1"/>
  <c r="Z73" i="7" s="1"/>
  <c r="AC73" i="7" s="1"/>
  <c r="AF73" i="7" s="1"/>
  <c r="AI73" i="7" s="1"/>
  <c r="AL73" i="7" s="1"/>
  <c r="I78" i="7"/>
  <c r="E78" i="7"/>
  <c r="D78" i="7"/>
  <c r="G76" i="7"/>
  <c r="O76" i="7" s="1"/>
  <c r="R76" i="7" s="1"/>
  <c r="U76" i="7" s="1"/>
  <c r="X76" i="7" s="1"/>
  <c r="AA76" i="7" s="1"/>
  <c r="AD76" i="7" s="1"/>
  <c r="AG76" i="7" s="1"/>
  <c r="AJ76" i="7" s="1"/>
  <c r="AM76" i="7" s="1"/>
  <c r="G75" i="7"/>
  <c r="K75" i="7" s="1"/>
  <c r="G74" i="7"/>
  <c r="K74" i="7" s="1"/>
  <c r="G73" i="7"/>
  <c r="K73" i="7" s="1"/>
  <c r="N60" i="7"/>
  <c r="Q60" i="7" s="1"/>
  <c r="T60" i="7" s="1"/>
  <c r="W60" i="7" s="1"/>
  <c r="Z60" i="7" s="1"/>
  <c r="AC60" i="7" s="1"/>
  <c r="AF60" i="7" s="1"/>
  <c r="AI60" i="7" s="1"/>
  <c r="AL60" i="7" s="1"/>
  <c r="N61" i="7"/>
  <c r="Q61" i="7" s="1"/>
  <c r="T61" i="7" s="1"/>
  <c r="W61" i="7" s="1"/>
  <c r="Z61" i="7" s="1"/>
  <c r="AC61" i="7" s="1"/>
  <c r="AF61" i="7" s="1"/>
  <c r="AI61" i="7" s="1"/>
  <c r="AL61" i="7" s="1"/>
  <c r="N62" i="7"/>
  <c r="Q62" i="7" s="1"/>
  <c r="T62" i="7" s="1"/>
  <c r="W62" i="7" s="1"/>
  <c r="Z62" i="7" s="1"/>
  <c r="AC62" i="7" s="1"/>
  <c r="AF62" i="7" s="1"/>
  <c r="AI62" i="7" s="1"/>
  <c r="AL62" i="7" s="1"/>
  <c r="P61" i="7"/>
  <c r="S61" i="7" s="1"/>
  <c r="V61" i="7" s="1"/>
  <c r="Y61" i="7" s="1"/>
  <c r="AB61" i="7" s="1"/>
  <c r="AE61" i="7" s="1"/>
  <c r="AH61" i="7" s="1"/>
  <c r="AK61" i="7" s="1"/>
  <c r="AN61" i="7" s="1"/>
  <c r="P60" i="7"/>
  <c r="S60" i="7" s="1"/>
  <c r="V60" i="7" s="1"/>
  <c r="Y60" i="7" s="1"/>
  <c r="AB60" i="7" s="1"/>
  <c r="AE60" i="7" s="1"/>
  <c r="AH60" i="7" s="1"/>
  <c r="AK60" i="7" s="1"/>
  <c r="AN60" i="7" s="1"/>
  <c r="P62" i="7"/>
  <c r="S62" i="7" s="1"/>
  <c r="V62" i="7" s="1"/>
  <c r="Y62" i="7" s="1"/>
  <c r="AB62" i="7" s="1"/>
  <c r="AE62" i="7" s="1"/>
  <c r="AH62" i="7" s="1"/>
  <c r="AK62" i="7" s="1"/>
  <c r="AN62" i="7" s="1"/>
  <c r="P59" i="7"/>
  <c r="S59" i="7" s="1"/>
  <c r="V59" i="7" s="1"/>
  <c r="Y59" i="7" s="1"/>
  <c r="AB59" i="7" s="1"/>
  <c r="AE59" i="7" s="1"/>
  <c r="AH59" i="7" s="1"/>
  <c r="AK59" i="7" s="1"/>
  <c r="AN59" i="7" s="1"/>
  <c r="N59" i="7"/>
  <c r="Q59" i="7" s="1"/>
  <c r="I64" i="7"/>
  <c r="E64" i="7"/>
  <c r="D64" i="7"/>
  <c r="G62" i="7"/>
  <c r="K62" i="7" s="1"/>
  <c r="G61" i="7"/>
  <c r="K61" i="7" s="1"/>
  <c r="G60" i="7"/>
  <c r="K60" i="7" s="1"/>
  <c r="G59" i="7"/>
  <c r="O59" i="7" s="1"/>
  <c r="C21" i="10"/>
  <c r="M26" i="10" s="1"/>
  <c r="C23" i="10"/>
  <c r="E23" i="10" s="1"/>
  <c r="F23" i="10" s="1"/>
  <c r="G23" i="10" s="1"/>
  <c r="H23" i="10" s="1"/>
  <c r="I23" i="10" s="1"/>
  <c r="J23" i="10" s="1"/>
  <c r="K23" i="10" s="1"/>
  <c r="L23" i="10" s="1"/>
  <c r="M23" i="10" s="1"/>
  <c r="N23" i="10" s="1"/>
  <c r="O23" i="10" s="1"/>
  <c r="P23" i="10" s="1"/>
  <c r="M17" i="10"/>
  <c r="H17" i="10"/>
  <c r="C14" i="10"/>
  <c r="D14" i="10" s="1"/>
  <c r="E14" i="10" s="1"/>
  <c r="F14" i="10" s="1"/>
  <c r="G14" i="10" s="1"/>
  <c r="H14" i="10" s="1"/>
  <c r="I14" i="10" s="1"/>
  <c r="J14" i="10" s="1"/>
  <c r="K14" i="10" s="1"/>
  <c r="L14" i="10" s="1"/>
  <c r="M14" i="10" s="1"/>
  <c r="AF29" i="9" s="1"/>
  <c r="AG29" i="9" s="1"/>
  <c r="AH29" i="9" s="1"/>
  <c r="Z28" i="9"/>
  <c r="AA28" i="9" s="1"/>
  <c r="AB28" i="9" s="1"/>
  <c r="X28" i="9"/>
  <c r="Y28" i="9" s="1"/>
  <c r="U28" i="9"/>
  <c r="V28" i="9" s="1"/>
  <c r="R28" i="9"/>
  <c r="S28" i="9" s="1"/>
  <c r="O28" i="9"/>
  <c r="P28" i="9" s="1"/>
  <c r="E15" i="9"/>
  <c r="G15" i="9" s="1"/>
  <c r="M9" i="10"/>
  <c r="H9" i="10"/>
  <c r="C6" i="10"/>
  <c r="D6" i="10" s="1"/>
  <c r="E6" i="10" s="1"/>
  <c r="F6" i="10" s="1"/>
  <c r="G6" i="10" s="1"/>
  <c r="H6" i="10" s="1"/>
  <c r="I6" i="10" s="1"/>
  <c r="J6" i="10" s="1"/>
  <c r="K6" i="10" s="1"/>
  <c r="L6" i="10" s="1"/>
  <c r="M6" i="10" s="1"/>
  <c r="N27" i="9"/>
  <c r="Z25" i="9"/>
  <c r="U25" i="9"/>
  <c r="V25" i="9" s="1"/>
  <c r="R25" i="9"/>
  <c r="S25" i="9" s="1"/>
  <c r="O25" i="9"/>
  <c r="P25" i="9" s="1"/>
  <c r="E12" i="9"/>
  <c r="Z24" i="9"/>
  <c r="U24" i="9"/>
  <c r="V24" i="9" s="1"/>
  <c r="R24" i="9"/>
  <c r="S24" i="9" s="1"/>
  <c r="O24" i="9"/>
  <c r="P24" i="9" s="1"/>
  <c r="E11" i="9"/>
  <c r="Z23" i="9"/>
  <c r="U23" i="9"/>
  <c r="V23" i="9" s="1"/>
  <c r="R23" i="9"/>
  <c r="S23" i="9" s="1"/>
  <c r="O23" i="9"/>
  <c r="P23" i="9" s="1"/>
  <c r="E10" i="9"/>
  <c r="Z22" i="9"/>
  <c r="U22" i="9"/>
  <c r="V22" i="9" s="1"/>
  <c r="R22" i="9"/>
  <c r="S22" i="9" s="1"/>
  <c r="O22" i="9"/>
  <c r="P22" i="9" s="1"/>
  <c r="E9" i="9"/>
  <c r="Z21" i="9"/>
  <c r="U21" i="9"/>
  <c r="V21" i="9" s="1"/>
  <c r="R21" i="9"/>
  <c r="S21" i="9" s="1"/>
  <c r="O21" i="9"/>
  <c r="P21" i="9" s="1"/>
  <c r="E8" i="9"/>
  <c r="E7" i="9"/>
  <c r="G7" i="9" s="1"/>
  <c r="I7" i="9" s="1"/>
  <c r="F19" i="9"/>
  <c r="H19" i="9"/>
  <c r="D17" i="9"/>
  <c r="N30" i="9" s="1"/>
  <c r="O30" i="9" s="1"/>
  <c r="P30" i="9" s="1"/>
  <c r="AC33" i="9"/>
  <c r="AD33" i="9" s="1"/>
  <c r="AE33" i="9" s="1"/>
  <c r="Z33" i="9"/>
  <c r="AA33" i="9" s="1"/>
  <c r="W33" i="9"/>
  <c r="X33" i="9" s="1"/>
  <c r="Y33" i="9" s="1"/>
  <c r="T33" i="9"/>
  <c r="U33" i="9" s="1"/>
  <c r="V33" i="9" s="1"/>
  <c r="S19" i="9"/>
  <c r="S20" i="9"/>
  <c r="S34" i="9"/>
  <c r="S35" i="9"/>
  <c r="S36" i="9"/>
  <c r="Q33" i="9"/>
  <c r="R33" i="9" s="1"/>
  <c r="S33" i="9" s="1"/>
  <c r="W7" i="9"/>
  <c r="Z7" i="9" s="1"/>
  <c r="AA7" i="9" s="1"/>
  <c r="AB7" i="9" s="1"/>
  <c r="T7" i="9"/>
  <c r="U7" i="9" s="1"/>
  <c r="V7" i="9" s="1"/>
  <c r="Q7" i="9"/>
  <c r="R7" i="9" s="1"/>
  <c r="S7" i="9" s="1"/>
  <c r="I15" i="7"/>
  <c r="E40" i="7"/>
  <c r="D40" i="7"/>
  <c r="Q36" i="7"/>
  <c r="T36" i="7" s="1"/>
  <c r="W36" i="7" s="1"/>
  <c r="Z36" i="7" s="1"/>
  <c r="AC36" i="7" s="1"/>
  <c r="AF36" i="7" s="1"/>
  <c r="AI36" i="7" s="1"/>
  <c r="AL36" i="7" s="1"/>
  <c r="N35" i="7"/>
  <c r="Q35" i="7" s="1"/>
  <c r="T35" i="7" s="1"/>
  <c r="W35" i="7" s="1"/>
  <c r="Z35" i="7" s="1"/>
  <c r="AC35" i="7" s="1"/>
  <c r="AF35" i="7" s="1"/>
  <c r="P34" i="7"/>
  <c r="S34" i="7" s="1"/>
  <c r="V34" i="7" s="1"/>
  <c r="Y34" i="7" s="1"/>
  <c r="AB34" i="7" s="1"/>
  <c r="AE34" i="7" s="1"/>
  <c r="P35" i="7"/>
  <c r="S35" i="7" s="1"/>
  <c r="V35" i="7" s="1"/>
  <c r="Y35" i="7" s="1"/>
  <c r="AB35" i="7" s="1"/>
  <c r="AE35" i="7" s="1"/>
  <c r="AH35" i="7" s="1"/>
  <c r="AK35" i="7" s="1"/>
  <c r="AN35" i="7" s="1"/>
  <c r="P36" i="7"/>
  <c r="S36" i="7" s="1"/>
  <c r="V36" i="7" s="1"/>
  <c r="Y36" i="7" s="1"/>
  <c r="AB36" i="7" s="1"/>
  <c r="AE36" i="7" s="1"/>
  <c r="AH36" i="7" s="1"/>
  <c r="AK36" i="7" s="1"/>
  <c r="AN36" i="7" s="1"/>
  <c r="P33" i="7"/>
  <c r="S33" i="7" s="1"/>
  <c r="V33" i="7" s="1"/>
  <c r="N34" i="7"/>
  <c r="Q34" i="7" s="1"/>
  <c r="T34" i="7" s="1"/>
  <c r="W34" i="7" s="1"/>
  <c r="Z34" i="7" s="1"/>
  <c r="AC34" i="7" s="1"/>
  <c r="AF34" i="7" s="1"/>
  <c r="AI34" i="7" s="1"/>
  <c r="AL34" i="7" s="1"/>
  <c r="N33" i="7"/>
  <c r="Q33" i="7" s="1"/>
  <c r="T33" i="7" s="1"/>
  <c r="W33" i="7" s="1"/>
  <c r="Z33" i="7" s="1"/>
  <c r="AC33" i="7" s="1"/>
  <c r="N7" i="7"/>
  <c r="I40" i="7"/>
  <c r="G37" i="7"/>
  <c r="E8" i="7"/>
  <c r="E7" i="7"/>
  <c r="D10" i="12" l="1"/>
  <c r="O8" i="7"/>
  <c r="R8" i="7" s="1"/>
  <c r="U8" i="7" s="1"/>
  <c r="X8" i="7" s="1"/>
  <c r="AA8" i="7" s="1"/>
  <c r="AD8" i="7" s="1"/>
  <c r="AG8" i="7" s="1"/>
  <c r="AJ8" i="7" s="1"/>
  <c r="AM8" i="7" s="1"/>
  <c r="AE21" i="7"/>
  <c r="AK21" i="7"/>
  <c r="AE23" i="7"/>
  <c r="AK19" i="7"/>
  <c r="V22" i="7"/>
  <c r="AE22" i="7"/>
  <c r="S25" i="7"/>
  <c r="S27" i="7"/>
  <c r="AN28" i="7"/>
  <c r="AN24" i="7"/>
  <c r="V24" i="7"/>
  <c r="X24" i="7"/>
  <c r="Y24" i="7" s="1"/>
  <c r="S20" i="7"/>
  <c r="Y19" i="7"/>
  <c r="AH18" i="7"/>
  <c r="V23" i="7"/>
  <c r="Y23" i="7"/>
  <c r="AH26" i="7"/>
  <c r="V27" i="7"/>
  <c r="Y27" i="7"/>
  <c r="AH27" i="7"/>
  <c r="AN26" i="7"/>
  <c r="AK26" i="7"/>
  <c r="AH23" i="7"/>
  <c r="AH25" i="7"/>
  <c r="AH20" i="7"/>
  <c r="AN19" i="7"/>
  <c r="O61" i="7"/>
  <c r="R61" i="7" s="1"/>
  <c r="U61" i="7" s="1"/>
  <c r="X61" i="7" s="1"/>
  <c r="AA61" i="7" s="1"/>
  <c r="AD61" i="7" s="1"/>
  <c r="AG61" i="7" s="1"/>
  <c r="AJ61" i="7" s="1"/>
  <c r="AM61" i="7" s="1"/>
  <c r="Q7" i="7"/>
  <c r="F9" i="12"/>
  <c r="F19" i="12" s="1"/>
  <c r="F31" i="12" s="1"/>
  <c r="K59" i="7"/>
  <c r="O3" i="7"/>
  <c r="F12" i="12"/>
  <c r="F22" i="12" s="1"/>
  <c r="F34" i="12" s="1"/>
  <c r="N77" i="7"/>
  <c r="N78" i="7" s="1"/>
  <c r="N79" i="7" s="1"/>
  <c r="F10" i="12"/>
  <c r="F20" i="12" s="1"/>
  <c r="F32" i="12" s="1"/>
  <c r="K36" i="7"/>
  <c r="D20" i="12"/>
  <c r="D32" i="12" s="1"/>
  <c r="K76" i="7"/>
  <c r="K38" i="7"/>
  <c r="D22" i="12"/>
  <c r="D34" i="12" s="1"/>
  <c r="I7" i="7"/>
  <c r="D9" i="12"/>
  <c r="K35" i="7"/>
  <c r="D19" i="12"/>
  <c r="D31" i="12" s="1"/>
  <c r="K37" i="7"/>
  <c r="D21" i="12"/>
  <c r="D33" i="12" s="1"/>
  <c r="I13" i="7"/>
  <c r="E19" i="12"/>
  <c r="D23" i="13"/>
  <c r="V7" i="7"/>
  <c r="S7" i="7"/>
  <c r="E20" i="13"/>
  <c r="P7" i="7"/>
  <c r="Y7" i="7"/>
  <c r="I9" i="13"/>
  <c r="AC29" i="9"/>
  <c r="AD29" i="9" s="1"/>
  <c r="AE29" i="9" s="1"/>
  <c r="W29" i="9"/>
  <c r="X29" i="9" s="1"/>
  <c r="Y29" i="9" s="1"/>
  <c r="Z29" i="9"/>
  <c r="AA29" i="9" s="1"/>
  <c r="AB29" i="9" s="1"/>
  <c r="D16" i="9"/>
  <c r="E16" i="9" s="1"/>
  <c r="G16" i="9" s="1"/>
  <c r="I16" i="9" s="1"/>
  <c r="N14" i="10"/>
  <c r="N29" i="9"/>
  <c r="O29" i="9" s="1"/>
  <c r="P29" i="9" s="1"/>
  <c r="Q29" i="9"/>
  <c r="R29" i="9" s="1"/>
  <c r="S29" i="9" s="1"/>
  <c r="T29" i="9"/>
  <c r="U29" i="9" s="1"/>
  <c r="V29" i="9" s="1"/>
  <c r="S12" i="7"/>
  <c r="I14" i="7"/>
  <c r="O62" i="7"/>
  <c r="R62" i="7" s="1"/>
  <c r="U62" i="7" s="1"/>
  <c r="X62" i="7" s="1"/>
  <c r="AA62" i="7" s="1"/>
  <c r="AD62" i="7" s="1"/>
  <c r="AG62" i="7" s="1"/>
  <c r="AJ62" i="7" s="1"/>
  <c r="AM62" i="7" s="1"/>
  <c r="I12" i="7"/>
  <c r="P12" i="7"/>
  <c r="O60" i="7"/>
  <c r="O73" i="7"/>
  <c r="R73" i="7" s="1"/>
  <c r="U73" i="7" s="1"/>
  <c r="X73" i="7" s="1"/>
  <c r="AA73" i="7" s="1"/>
  <c r="AD73" i="7" s="1"/>
  <c r="AG73" i="7" s="1"/>
  <c r="AJ73" i="7" s="1"/>
  <c r="AM73" i="7" s="1"/>
  <c r="I16" i="7"/>
  <c r="G78" i="7"/>
  <c r="K78" i="7" s="1"/>
  <c r="O75" i="7"/>
  <c r="R75" i="7" s="1"/>
  <c r="U75" i="7" s="1"/>
  <c r="X75" i="7" s="1"/>
  <c r="AA75" i="7" s="1"/>
  <c r="AD75" i="7" s="1"/>
  <c r="AG75" i="7" s="1"/>
  <c r="AJ75" i="7" s="1"/>
  <c r="AM75" i="7" s="1"/>
  <c r="O74" i="7"/>
  <c r="Q74" i="7"/>
  <c r="T74" i="7" s="1"/>
  <c r="W74" i="7" s="1"/>
  <c r="Z74" i="7" s="1"/>
  <c r="AC74" i="7" s="1"/>
  <c r="AF74" i="7" s="1"/>
  <c r="AI74" i="7" s="1"/>
  <c r="AL74" i="7" s="1"/>
  <c r="P77" i="7"/>
  <c r="P78" i="7" s="1"/>
  <c r="P79" i="7" s="1"/>
  <c r="N63" i="7"/>
  <c r="N64" i="7" s="1"/>
  <c r="N65" i="7" s="1"/>
  <c r="P63" i="7"/>
  <c r="P64" i="7" s="1"/>
  <c r="P65" i="7" s="1"/>
  <c r="Q63" i="7"/>
  <c r="Q64" i="7" s="1"/>
  <c r="Q65" i="7" s="1"/>
  <c r="R59" i="7"/>
  <c r="U59" i="7" s="1"/>
  <c r="S63" i="7"/>
  <c r="S64" i="7" s="1"/>
  <c r="S65" i="7" s="1"/>
  <c r="T59" i="7"/>
  <c r="G64" i="7"/>
  <c r="K64" i="7" s="1"/>
  <c r="H26" i="10"/>
  <c r="AC28" i="9"/>
  <c r="AD28" i="9" s="1"/>
  <c r="AE28" i="9" s="1"/>
  <c r="I15" i="9"/>
  <c r="O27" i="9"/>
  <c r="P27" i="9" s="1"/>
  <c r="Q27" i="9"/>
  <c r="E14" i="9"/>
  <c r="AC25" i="9"/>
  <c r="AA25" i="9"/>
  <c r="AB25" i="9" s="1"/>
  <c r="X25" i="9"/>
  <c r="Y25" i="9" s="1"/>
  <c r="AA24" i="9"/>
  <c r="AB24" i="9" s="1"/>
  <c r="AC24" i="9"/>
  <c r="G12" i="9"/>
  <c r="I12" i="9" s="1"/>
  <c r="X24" i="9"/>
  <c r="Y24" i="9" s="1"/>
  <c r="G11" i="9"/>
  <c r="I11" i="9" s="1"/>
  <c r="AA23" i="9"/>
  <c r="AB23" i="9" s="1"/>
  <c r="AC23" i="9"/>
  <c r="X23" i="9"/>
  <c r="Y23" i="9" s="1"/>
  <c r="X21" i="9"/>
  <c r="Y21" i="9" s="1"/>
  <c r="AA22" i="9"/>
  <c r="AB22" i="9" s="1"/>
  <c r="AC22" i="9"/>
  <c r="G10" i="9"/>
  <c r="I10" i="9" s="1"/>
  <c r="X22" i="9"/>
  <c r="Y22" i="9" s="1"/>
  <c r="AA21" i="9"/>
  <c r="AB21" i="9" s="1"/>
  <c r="AC21" i="9"/>
  <c r="G9" i="9"/>
  <c r="I9" i="9" s="1"/>
  <c r="G8" i="9"/>
  <c r="I8" i="9" s="1"/>
  <c r="D19" i="9"/>
  <c r="E17" i="9"/>
  <c r="G17" i="9" s="1"/>
  <c r="Q30" i="9"/>
  <c r="AB33" i="9"/>
  <c r="O7" i="9"/>
  <c r="P7" i="9" s="1"/>
  <c r="E6" i="9"/>
  <c r="X7" i="9"/>
  <c r="Y7" i="9" s="1"/>
  <c r="AC7" i="9"/>
  <c r="I17" i="7"/>
  <c r="E13" i="14"/>
  <c r="E12" i="14" s="1"/>
  <c r="P37" i="7"/>
  <c r="P38" i="7" s="1"/>
  <c r="O35" i="7"/>
  <c r="O7" i="7"/>
  <c r="V37" i="7"/>
  <c r="V38" i="7" s="1"/>
  <c r="Y33" i="7"/>
  <c r="AF33" i="7"/>
  <c r="AI33" i="7" s="1"/>
  <c r="AL33" i="7" s="1"/>
  <c r="AC37" i="7"/>
  <c r="AC38" i="7" s="1"/>
  <c r="I10" i="7"/>
  <c r="AH34" i="7"/>
  <c r="AK34" i="7" s="1"/>
  <c r="AN34" i="7" s="1"/>
  <c r="AI35" i="7"/>
  <c r="S37" i="7"/>
  <c r="S38" i="7" s="1"/>
  <c r="O33" i="7"/>
  <c r="R33" i="7" s="1"/>
  <c r="U33" i="7" s="1"/>
  <c r="X33" i="7" s="1"/>
  <c r="AA33" i="7" s="1"/>
  <c r="AD33" i="7" s="1"/>
  <c r="AG33" i="7" s="1"/>
  <c r="O34" i="7"/>
  <c r="R34" i="7" s="1"/>
  <c r="U34" i="7" s="1"/>
  <c r="X34" i="7" s="1"/>
  <c r="AA34" i="7" s="1"/>
  <c r="AD34" i="7" s="1"/>
  <c r="Z37" i="7"/>
  <c r="Z38" i="7" s="1"/>
  <c r="Q37" i="7"/>
  <c r="Q38" i="7" s="1"/>
  <c r="N37" i="7"/>
  <c r="N38" i="7" s="1"/>
  <c r="G40" i="7"/>
  <c r="K40" i="7" s="1"/>
  <c r="E24" i="12" l="1"/>
  <c r="E31" i="12"/>
  <c r="AN21" i="7"/>
  <c r="AK28" i="7"/>
  <c r="AH22" i="7"/>
  <c r="V25" i="7"/>
  <c r="Y25" i="7"/>
  <c r="AK24" i="7"/>
  <c r="AH24" i="7"/>
  <c r="V20" i="7"/>
  <c r="Y20" i="7"/>
  <c r="AK18" i="7"/>
  <c r="AK27" i="7"/>
  <c r="AN27" i="7"/>
  <c r="AK20" i="7"/>
  <c r="AN20" i="7"/>
  <c r="AK25" i="7"/>
  <c r="AN25" i="7"/>
  <c r="AK23" i="7"/>
  <c r="AN23" i="7"/>
  <c r="O63" i="7"/>
  <c r="O64" i="7" s="1"/>
  <c r="O65" i="7" s="1"/>
  <c r="D24" i="12"/>
  <c r="I10" i="12"/>
  <c r="I20" i="12" s="1"/>
  <c r="I32" i="12" s="1"/>
  <c r="G10" i="12"/>
  <c r="G20" i="12" s="1"/>
  <c r="G32" i="12" s="1"/>
  <c r="I12" i="12"/>
  <c r="I22" i="12" s="1"/>
  <c r="I34" i="12" s="1"/>
  <c r="R7" i="7"/>
  <c r="G9" i="12"/>
  <c r="G19" i="12" s="1"/>
  <c r="G31" i="12" s="1"/>
  <c r="T7" i="7"/>
  <c r="I9" i="12"/>
  <c r="I19" i="12" s="1"/>
  <c r="I31" i="12" s="1"/>
  <c r="F13" i="14"/>
  <c r="F12" i="14" s="1"/>
  <c r="P2" i="7"/>
  <c r="H12" i="12"/>
  <c r="G12" i="12"/>
  <c r="G22" i="12" s="1"/>
  <c r="G34" i="12" s="1"/>
  <c r="F20" i="13"/>
  <c r="AB7" i="7"/>
  <c r="J9" i="13"/>
  <c r="D24" i="13"/>
  <c r="H9" i="12"/>
  <c r="H19" i="12" s="1"/>
  <c r="H31" i="12" s="1"/>
  <c r="D9" i="7"/>
  <c r="AI29" i="9"/>
  <c r="AJ29" i="9" s="1"/>
  <c r="AK29" i="9" s="1"/>
  <c r="O14" i="10"/>
  <c r="AL29" i="9" s="1"/>
  <c r="AM29" i="9" s="1"/>
  <c r="AN29" i="9" s="1"/>
  <c r="N32" i="9"/>
  <c r="N37" i="9" s="1"/>
  <c r="N9" i="7" s="1"/>
  <c r="V12" i="7"/>
  <c r="R35" i="7"/>
  <c r="U35" i="7" s="1"/>
  <c r="X35" i="7" s="1"/>
  <c r="AA35" i="7" s="1"/>
  <c r="AD35" i="7" s="1"/>
  <c r="AG35" i="7" s="1"/>
  <c r="AJ35" i="7" s="1"/>
  <c r="AM35" i="7" s="1"/>
  <c r="R36" i="7"/>
  <c r="U36" i="7" s="1"/>
  <c r="X36" i="7" s="1"/>
  <c r="AA36" i="7" s="1"/>
  <c r="AD36" i="7" s="1"/>
  <c r="AG36" i="7" s="1"/>
  <c r="AJ36" i="7" s="1"/>
  <c r="AM36" i="7" s="1"/>
  <c r="R60" i="7"/>
  <c r="R63" i="7" s="1"/>
  <c r="R64" i="7" s="1"/>
  <c r="R65" i="7" s="1"/>
  <c r="O77" i="7"/>
  <c r="O78" i="7" s="1"/>
  <c r="O79" i="7" s="1"/>
  <c r="R74" i="7"/>
  <c r="U74" i="7" s="1"/>
  <c r="X74" i="7" s="1"/>
  <c r="AA74" i="7" s="1"/>
  <c r="AD74" i="7" s="1"/>
  <c r="AG74" i="7" s="1"/>
  <c r="AJ74" i="7" s="1"/>
  <c r="AM74" i="7" s="1"/>
  <c r="Q77" i="7"/>
  <c r="Q78" i="7" s="1"/>
  <c r="Q79" i="7" s="1"/>
  <c r="S77" i="7"/>
  <c r="S78" i="7" s="1"/>
  <c r="S79" i="7" s="1"/>
  <c r="X59" i="7"/>
  <c r="AA59" i="7" s="1"/>
  <c r="AD59" i="7" s="1"/>
  <c r="AG59" i="7" s="1"/>
  <c r="AJ59" i="7" s="1"/>
  <c r="AM59" i="7" s="1"/>
  <c r="V63" i="7"/>
  <c r="V64" i="7" s="1"/>
  <c r="V65" i="7" s="1"/>
  <c r="W59" i="7"/>
  <c r="Z59" i="7" s="1"/>
  <c r="AC59" i="7" s="1"/>
  <c r="AF59" i="7" s="1"/>
  <c r="AI59" i="7" s="1"/>
  <c r="AL59" i="7" s="1"/>
  <c r="T63" i="7"/>
  <c r="T64" i="7" s="1"/>
  <c r="T65" i="7" s="1"/>
  <c r="AF28" i="9"/>
  <c r="AI28" i="9" s="1"/>
  <c r="G14" i="9"/>
  <c r="I14" i="9" s="1"/>
  <c r="T27" i="9"/>
  <c r="R27" i="9"/>
  <c r="S27" i="9" s="1"/>
  <c r="AD25" i="9"/>
  <c r="AE25" i="9" s="1"/>
  <c r="AF25" i="9"/>
  <c r="AF24" i="9"/>
  <c r="AD24" i="9"/>
  <c r="AE24" i="9" s="1"/>
  <c r="AF23" i="9"/>
  <c r="AD23" i="9"/>
  <c r="AE23" i="9" s="1"/>
  <c r="AF22" i="9"/>
  <c r="AD22" i="9"/>
  <c r="AE22" i="9" s="1"/>
  <c r="AD21" i="9"/>
  <c r="AE21" i="9" s="1"/>
  <c r="AF21" i="9"/>
  <c r="E19" i="9"/>
  <c r="I17" i="9"/>
  <c r="T30" i="9"/>
  <c r="R30" i="9"/>
  <c r="S30" i="9" s="1"/>
  <c r="Q32" i="9"/>
  <c r="Q37" i="9" s="1"/>
  <c r="Q9" i="7" s="1"/>
  <c r="Q29" i="7" s="1"/>
  <c r="P32" i="9"/>
  <c r="P37" i="9" s="1"/>
  <c r="O32" i="9"/>
  <c r="O37" i="9" s="1"/>
  <c r="AF7" i="9"/>
  <c r="G6" i="9"/>
  <c r="AD7" i="9"/>
  <c r="AE7" i="9" s="1"/>
  <c r="AF37" i="7"/>
  <c r="AF38" i="7" s="1"/>
  <c r="O37" i="7"/>
  <c r="O38" i="7" s="1"/>
  <c r="AJ33" i="7"/>
  <c r="P8" i="7"/>
  <c r="I8" i="7"/>
  <c r="K9" i="12"/>
  <c r="AG34" i="7"/>
  <c r="AJ34" i="7" s="1"/>
  <c r="AM34" i="7" s="1"/>
  <c r="AI37" i="7"/>
  <c r="AI38" i="7" s="1"/>
  <c r="AL35" i="7"/>
  <c r="AL37" i="7" s="1"/>
  <c r="AL38" i="7" s="1"/>
  <c r="AB33" i="7"/>
  <c r="Y37" i="7"/>
  <c r="Y38" i="7" s="1"/>
  <c r="T37" i="7"/>
  <c r="T38" i="7" s="1"/>
  <c r="W37" i="7"/>
  <c r="W38" i="7" s="1"/>
  <c r="D25" i="12" l="1"/>
  <c r="D36" i="12"/>
  <c r="E25" i="12"/>
  <c r="E29" i="12" s="1"/>
  <c r="E36" i="12"/>
  <c r="AK22" i="7"/>
  <c r="AN22" i="7"/>
  <c r="AN18" i="7"/>
  <c r="E9" i="7"/>
  <c r="D11" i="12" s="1"/>
  <c r="D29" i="7"/>
  <c r="F11" i="12"/>
  <c r="N29" i="7"/>
  <c r="X37" i="7"/>
  <c r="X38" i="7" s="1"/>
  <c r="R37" i="7"/>
  <c r="R38" i="7" s="1"/>
  <c r="H22" i="12"/>
  <c r="E11" i="13"/>
  <c r="L12" i="12"/>
  <c r="L22" i="12" s="1"/>
  <c r="L34" i="12" s="1"/>
  <c r="R77" i="7"/>
  <c r="R78" i="7" s="1"/>
  <c r="R79" i="7" s="1"/>
  <c r="AD37" i="7"/>
  <c r="AD38" i="7" s="1"/>
  <c r="L9" i="12"/>
  <c r="L19" i="12" s="1"/>
  <c r="L31" i="12" s="1"/>
  <c r="W7" i="7"/>
  <c r="AA37" i="7"/>
  <c r="AA38" i="7" s="1"/>
  <c r="J10" i="12"/>
  <c r="J20" i="12" s="1"/>
  <c r="J32" i="12" s="1"/>
  <c r="U37" i="7"/>
  <c r="U38" i="7" s="1"/>
  <c r="U7" i="7"/>
  <c r="J9" i="12"/>
  <c r="J19" i="12" s="1"/>
  <c r="J31" i="12" s="1"/>
  <c r="L10" i="12"/>
  <c r="J12" i="12"/>
  <c r="J22" i="12" s="1"/>
  <c r="J34" i="12" s="1"/>
  <c r="K12" i="12"/>
  <c r="G20" i="13"/>
  <c r="K9" i="13"/>
  <c r="AE7" i="7"/>
  <c r="K19" i="12"/>
  <c r="K31" i="12" s="1"/>
  <c r="S8" i="7"/>
  <c r="H10" i="12"/>
  <c r="O29" i="7"/>
  <c r="P3" i="7"/>
  <c r="I11" i="12"/>
  <c r="C11" i="12"/>
  <c r="O41" i="7"/>
  <c r="U60" i="7"/>
  <c r="Y14" i="7"/>
  <c r="O40" i="7"/>
  <c r="Y15" i="7"/>
  <c r="Y12" i="7"/>
  <c r="Y17" i="7"/>
  <c r="Y13" i="7"/>
  <c r="T77" i="7"/>
  <c r="T78" i="7" s="1"/>
  <c r="T79" i="7" s="1"/>
  <c r="V77" i="7"/>
  <c r="V78" i="7" s="1"/>
  <c r="V79" i="7" s="1"/>
  <c r="U77" i="7"/>
  <c r="U78" i="7" s="1"/>
  <c r="U79" i="7" s="1"/>
  <c r="W63" i="7"/>
  <c r="W64" i="7" s="1"/>
  <c r="W65" i="7" s="1"/>
  <c r="Y63" i="7"/>
  <c r="Y64" i="7" s="1"/>
  <c r="Y65" i="7" s="1"/>
  <c r="AG28" i="9"/>
  <c r="AH28" i="9" s="1"/>
  <c r="AJ28" i="9"/>
  <c r="AK28" i="9" s="1"/>
  <c r="AL28" i="9"/>
  <c r="AM28" i="9" s="1"/>
  <c r="AN28" i="9" s="1"/>
  <c r="U27" i="9"/>
  <c r="V27" i="9" s="1"/>
  <c r="AI25" i="9"/>
  <c r="AG25" i="9"/>
  <c r="AH25" i="9" s="1"/>
  <c r="AI24" i="9"/>
  <c r="AG24" i="9"/>
  <c r="AH24" i="9" s="1"/>
  <c r="AI23" i="9"/>
  <c r="AG23" i="9"/>
  <c r="AH23" i="9" s="1"/>
  <c r="AI22" i="9"/>
  <c r="AG22" i="9"/>
  <c r="AH22" i="9" s="1"/>
  <c r="AI21" i="9"/>
  <c r="AG21" i="9"/>
  <c r="AH21" i="9" s="1"/>
  <c r="I6" i="9"/>
  <c r="I19" i="9" s="1"/>
  <c r="G19" i="9"/>
  <c r="S32" i="9"/>
  <c r="S37" i="9" s="1"/>
  <c r="R32" i="9"/>
  <c r="R37" i="9" s="1"/>
  <c r="W30" i="9"/>
  <c r="U30" i="9"/>
  <c r="V30" i="9" s="1"/>
  <c r="T32" i="9"/>
  <c r="T37" i="9" s="1"/>
  <c r="T9" i="7" s="1"/>
  <c r="T29" i="7" s="1"/>
  <c r="AG7" i="9"/>
  <c r="AH7" i="9" s="1"/>
  <c r="AI7" i="9"/>
  <c r="AE33" i="7"/>
  <c r="AB37" i="7"/>
  <c r="AB38" i="7" s="1"/>
  <c r="AG37" i="7"/>
  <c r="AG38" i="7" s="1"/>
  <c r="AJ37" i="7"/>
  <c r="AJ38" i="7" s="1"/>
  <c r="AM33" i="7"/>
  <c r="AM37" i="7" s="1"/>
  <c r="AM38" i="7" s="1"/>
  <c r="N9" i="12"/>
  <c r="E22" i="13" l="1"/>
  <c r="H34" i="12"/>
  <c r="F21" i="12"/>
  <c r="S29" i="7"/>
  <c r="R29" i="7"/>
  <c r="G9" i="7"/>
  <c r="E11" i="12" s="1"/>
  <c r="E29" i="7"/>
  <c r="X7" i="7"/>
  <c r="AA7" i="7" s="1"/>
  <c r="AD7" i="7" s="1"/>
  <c r="AG7" i="7" s="1"/>
  <c r="AJ7" i="7" s="1"/>
  <c r="M9" i="12"/>
  <c r="M19" i="12" s="1"/>
  <c r="M31" i="12" s="1"/>
  <c r="K22" i="12"/>
  <c r="F11" i="13"/>
  <c r="Z7" i="7"/>
  <c r="O9" i="12"/>
  <c r="O12" i="12"/>
  <c r="O10" i="12"/>
  <c r="G13" i="14"/>
  <c r="G12" i="14" s="1"/>
  <c r="M12" i="12"/>
  <c r="M22" i="12" s="1"/>
  <c r="M34" i="12" s="1"/>
  <c r="M10" i="12"/>
  <c r="M20" i="12" s="1"/>
  <c r="M32" i="12" s="1"/>
  <c r="L20" i="12"/>
  <c r="L32" i="12" s="1"/>
  <c r="G11" i="12"/>
  <c r="G21" i="12" s="1"/>
  <c r="H13" i="14"/>
  <c r="H12" i="14" s="1"/>
  <c r="N12" i="12"/>
  <c r="H20" i="13"/>
  <c r="N19" i="12"/>
  <c r="N31" i="12" s="1"/>
  <c r="L9" i="13"/>
  <c r="AH7" i="7"/>
  <c r="Z9" i="12" s="1"/>
  <c r="V8" i="7"/>
  <c r="K10" i="12"/>
  <c r="J11" i="12"/>
  <c r="L11" i="12"/>
  <c r="Y16" i="7"/>
  <c r="AB15" i="7"/>
  <c r="AB17" i="7"/>
  <c r="AB14" i="7"/>
  <c r="AB13" i="7"/>
  <c r="X60" i="7"/>
  <c r="U63" i="7"/>
  <c r="U64" i="7" s="1"/>
  <c r="U65" i="7" s="1"/>
  <c r="W77" i="7"/>
  <c r="W78" i="7" s="1"/>
  <c r="W79" i="7" s="1"/>
  <c r="X77" i="7"/>
  <c r="Y77" i="7"/>
  <c r="Y78" i="7" s="1"/>
  <c r="Y79" i="7" s="1"/>
  <c r="AB63" i="7"/>
  <c r="AB64" i="7" s="1"/>
  <c r="AB65" i="7" s="1"/>
  <c r="Z63" i="7"/>
  <c r="Z64" i="7" s="1"/>
  <c r="Z65" i="7" s="1"/>
  <c r="Y27" i="9"/>
  <c r="AJ25" i="9"/>
  <c r="AK25" i="9" s="1"/>
  <c r="AL25" i="9"/>
  <c r="AM25" i="9" s="1"/>
  <c r="AN25" i="9" s="1"/>
  <c r="AJ24" i="9"/>
  <c r="AK24" i="9" s="1"/>
  <c r="AL24" i="9"/>
  <c r="AM24" i="9" s="1"/>
  <c r="AN24" i="9" s="1"/>
  <c r="AJ23" i="9"/>
  <c r="AK23" i="9" s="1"/>
  <c r="AL23" i="9"/>
  <c r="AM23" i="9" s="1"/>
  <c r="AN23" i="9" s="1"/>
  <c r="AL22" i="9"/>
  <c r="AM22" i="9" s="1"/>
  <c r="AN22" i="9" s="1"/>
  <c r="AJ22" i="9"/>
  <c r="AK22" i="9" s="1"/>
  <c r="AL21" i="9"/>
  <c r="AM21" i="9" s="1"/>
  <c r="AN21" i="9" s="1"/>
  <c r="AJ21" i="9"/>
  <c r="AK21" i="9" s="1"/>
  <c r="U29" i="7"/>
  <c r="X30" i="9"/>
  <c r="Y30" i="9" s="1"/>
  <c r="Z30" i="9"/>
  <c r="W32" i="9"/>
  <c r="W37" i="9" s="1"/>
  <c r="W9" i="7" s="1"/>
  <c r="W29" i="7" s="1"/>
  <c r="V32" i="9"/>
  <c r="V37" i="9" s="1"/>
  <c r="U32" i="9"/>
  <c r="U37" i="9" s="1"/>
  <c r="I9" i="7"/>
  <c r="I29" i="7" s="1"/>
  <c r="AJ7" i="9"/>
  <c r="AK7" i="9" s="1"/>
  <c r="AL7" i="9"/>
  <c r="AH33" i="7"/>
  <c r="AE37" i="7"/>
  <c r="AE38" i="7" s="1"/>
  <c r="G24" i="12" l="1"/>
  <c r="G33" i="12"/>
  <c r="F24" i="12"/>
  <c r="F33" i="12"/>
  <c r="F22" i="13"/>
  <c r="K34" i="12"/>
  <c r="I21" i="12"/>
  <c r="D10" i="13"/>
  <c r="D12" i="13" s="1"/>
  <c r="G29" i="7"/>
  <c r="E10" i="13"/>
  <c r="E12" i="13" s="1"/>
  <c r="P29" i="7"/>
  <c r="AB12" i="7"/>
  <c r="H11" i="12"/>
  <c r="H21" i="12" s="1"/>
  <c r="H33" i="12" s="1"/>
  <c r="N22" i="12"/>
  <c r="G11" i="13"/>
  <c r="P9" i="12"/>
  <c r="P19" i="12" s="1"/>
  <c r="P31" i="12" s="1"/>
  <c r="O19" i="12"/>
  <c r="O31" i="12" s="1"/>
  <c r="P10" i="12"/>
  <c r="P20" i="12" s="1"/>
  <c r="P32" i="12" s="1"/>
  <c r="O20" i="12"/>
  <c r="O32" i="12" s="1"/>
  <c r="R9" i="12"/>
  <c r="AC7" i="7"/>
  <c r="R10" i="12"/>
  <c r="O22" i="12"/>
  <c r="O34" i="12" s="1"/>
  <c r="P12" i="12"/>
  <c r="P22" i="12" s="1"/>
  <c r="P34" i="12" s="1"/>
  <c r="X78" i="7"/>
  <c r="X79" i="7" s="1"/>
  <c r="R12" i="12"/>
  <c r="I13" i="14"/>
  <c r="I20" i="13"/>
  <c r="AK7" i="7"/>
  <c r="AC9" i="12" s="1"/>
  <c r="Y8" i="7"/>
  <c r="N10" i="12"/>
  <c r="Q9" i="12"/>
  <c r="Q19" i="12" s="1"/>
  <c r="Q31" i="12" s="1"/>
  <c r="J21" i="12"/>
  <c r="O11" i="12"/>
  <c r="M11" i="12"/>
  <c r="K11" i="12"/>
  <c r="F10" i="13" s="1"/>
  <c r="F12" i="13" s="1"/>
  <c r="AE14" i="7"/>
  <c r="AA60" i="7"/>
  <c r="X63" i="7"/>
  <c r="X64" i="7" s="1"/>
  <c r="X65" i="7" s="1"/>
  <c r="AE17" i="7"/>
  <c r="AE15" i="7"/>
  <c r="AE13" i="7"/>
  <c r="AB16" i="7"/>
  <c r="Z77" i="7"/>
  <c r="Z78" i="7" s="1"/>
  <c r="Z79" i="7" s="1"/>
  <c r="AB77" i="7"/>
  <c r="AB78" i="7" s="1"/>
  <c r="AB79" i="7" s="1"/>
  <c r="AA77" i="7"/>
  <c r="AA78" i="7" s="1"/>
  <c r="AA79" i="7" s="1"/>
  <c r="AE63" i="7"/>
  <c r="AE64" i="7" s="1"/>
  <c r="AE65" i="7" s="1"/>
  <c r="AC63" i="7"/>
  <c r="AC64" i="7" s="1"/>
  <c r="AC65" i="7" s="1"/>
  <c r="AB27" i="9"/>
  <c r="X29" i="7"/>
  <c r="AA30" i="9"/>
  <c r="AB30" i="9" s="1"/>
  <c r="AC30" i="9"/>
  <c r="Z32" i="9"/>
  <c r="Z37" i="9" s="1"/>
  <c r="Z9" i="7" s="1"/>
  <c r="Z29" i="7" s="1"/>
  <c r="Y32" i="9"/>
  <c r="Y37" i="9" s="1"/>
  <c r="X32" i="9"/>
  <c r="X37" i="9" s="1"/>
  <c r="AM7" i="9"/>
  <c r="AN7" i="9" s="1"/>
  <c r="AH37" i="7"/>
  <c r="AH38" i="7" s="1"/>
  <c r="AK33" i="7"/>
  <c r="T9" i="12"/>
  <c r="AM7" i="7"/>
  <c r="I12" i="14" l="1"/>
  <c r="I16" i="14"/>
  <c r="I24" i="12"/>
  <c r="I33" i="12"/>
  <c r="F25" i="12"/>
  <c r="F29" i="12" s="1"/>
  <c r="F36" i="12"/>
  <c r="G22" i="13"/>
  <c r="N34" i="12"/>
  <c r="J24" i="12"/>
  <c r="J33" i="12"/>
  <c r="G25" i="12"/>
  <c r="G29" i="12" s="1"/>
  <c r="G36" i="12"/>
  <c r="L21" i="12"/>
  <c r="G10" i="13"/>
  <c r="G12" i="13" s="1"/>
  <c r="V29" i="7"/>
  <c r="AE12" i="7"/>
  <c r="Q12" i="12"/>
  <c r="Q22" i="12" s="1"/>
  <c r="U12" i="12"/>
  <c r="S10" i="12"/>
  <c r="S20" i="12" s="1"/>
  <c r="S32" i="12" s="1"/>
  <c r="R20" i="12"/>
  <c r="R32" i="12" s="1"/>
  <c r="S12" i="12"/>
  <c r="S22" i="12" s="1"/>
  <c r="S34" i="12" s="1"/>
  <c r="R22" i="12"/>
  <c r="R34" i="12" s="1"/>
  <c r="U10" i="12"/>
  <c r="U9" i="12"/>
  <c r="AF7" i="7"/>
  <c r="R19" i="12"/>
  <c r="R31" i="12" s="1"/>
  <c r="S9" i="12"/>
  <c r="S19" i="12" s="1"/>
  <c r="S31" i="12" s="1"/>
  <c r="Y29" i="7"/>
  <c r="H24" i="12"/>
  <c r="E21" i="13"/>
  <c r="E23" i="13" s="1"/>
  <c r="E24" i="13" s="1"/>
  <c r="J13" i="14"/>
  <c r="J12" i="14" s="1"/>
  <c r="T12" i="12"/>
  <c r="J20" i="13"/>
  <c r="T19" i="12"/>
  <c r="T31" i="12" s="1"/>
  <c r="AB8" i="7"/>
  <c r="Q10" i="12"/>
  <c r="M21" i="12"/>
  <c r="K21" i="12"/>
  <c r="K33" i="12" s="1"/>
  <c r="N11" i="12"/>
  <c r="P11" i="12"/>
  <c r="R11" i="12"/>
  <c r="AH15" i="7"/>
  <c r="AH17" i="7"/>
  <c r="AE16" i="7"/>
  <c r="AD60" i="7"/>
  <c r="AA63" i="7"/>
  <c r="AA64" i="7" s="1"/>
  <c r="AA65" i="7" s="1"/>
  <c r="AH14" i="7"/>
  <c r="AH13" i="7"/>
  <c r="AC77" i="7"/>
  <c r="AC78" i="7" s="1"/>
  <c r="AC79" i="7" s="1"/>
  <c r="AD77" i="7"/>
  <c r="AD78" i="7" s="1"/>
  <c r="AD79" i="7" s="1"/>
  <c r="AE77" i="7"/>
  <c r="AE78" i="7" s="1"/>
  <c r="AE79" i="7" s="1"/>
  <c r="AF63" i="7"/>
  <c r="AF64" i="7" s="1"/>
  <c r="AF65" i="7" s="1"/>
  <c r="AH63" i="7"/>
  <c r="AH64" i="7" s="1"/>
  <c r="AH65" i="7" s="1"/>
  <c r="AE27" i="9"/>
  <c r="AA29" i="7"/>
  <c r="AF30" i="9"/>
  <c r="AD30" i="9"/>
  <c r="AE30" i="9" s="1"/>
  <c r="AC32" i="9"/>
  <c r="AC37" i="9" s="1"/>
  <c r="AC9" i="7" s="1"/>
  <c r="AC29" i="7" s="1"/>
  <c r="AB32" i="9"/>
  <c r="AB37" i="9" s="1"/>
  <c r="AA32" i="9"/>
  <c r="AA37" i="9" s="1"/>
  <c r="AN33" i="7"/>
  <c r="AN37" i="7" s="1"/>
  <c r="AN38" i="7" s="1"/>
  <c r="AK37" i="7"/>
  <c r="AK38" i="7" s="1"/>
  <c r="W9" i="12"/>
  <c r="H22" i="13" l="1"/>
  <c r="Q34" i="12"/>
  <c r="J25" i="12"/>
  <c r="J36" i="12"/>
  <c r="I25" i="12"/>
  <c r="I36" i="12"/>
  <c r="H25" i="12"/>
  <c r="H29" i="12" s="1"/>
  <c r="H36" i="12"/>
  <c r="L24" i="12"/>
  <c r="L33" i="12"/>
  <c r="M24" i="12"/>
  <c r="M33" i="12"/>
  <c r="O21" i="12"/>
  <c r="AH12" i="7"/>
  <c r="H11" i="13"/>
  <c r="X9" i="12"/>
  <c r="AI7" i="7"/>
  <c r="U22" i="12"/>
  <c r="U34" i="12" s="1"/>
  <c r="V12" i="12"/>
  <c r="V22" i="12" s="1"/>
  <c r="V34" i="12" s="1"/>
  <c r="V9" i="12"/>
  <c r="V19" i="12" s="1"/>
  <c r="V31" i="12" s="1"/>
  <c r="U19" i="12"/>
  <c r="U31" i="12" s="1"/>
  <c r="X12" i="12"/>
  <c r="T22" i="12"/>
  <c r="I11" i="13"/>
  <c r="V10" i="12"/>
  <c r="V20" i="12" s="1"/>
  <c r="V32" i="12" s="1"/>
  <c r="U20" i="12"/>
  <c r="U32" i="12" s="1"/>
  <c r="X10" i="12"/>
  <c r="AB29" i="7"/>
  <c r="K24" i="12"/>
  <c r="F21" i="13"/>
  <c r="F23" i="13" s="1"/>
  <c r="F24" i="13" s="1"/>
  <c r="K13" i="14"/>
  <c r="K12" i="14" s="1"/>
  <c r="W12" i="12"/>
  <c r="K20" i="13"/>
  <c r="W19" i="12"/>
  <c r="W31" i="12" s="1"/>
  <c r="AE8" i="7"/>
  <c r="T10" i="12"/>
  <c r="P21" i="12"/>
  <c r="N21" i="12"/>
  <c r="N33" i="12" s="1"/>
  <c r="S11" i="12"/>
  <c r="Q11" i="12"/>
  <c r="H10" i="13" s="1"/>
  <c r="U11" i="12"/>
  <c r="AH16" i="7"/>
  <c r="AK17" i="7"/>
  <c r="AN17" i="7"/>
  <c r="AN14" i="7"/>
  <c r="AK14" i="7"/>
  <c r="AN15" i="7"/>
  <c r="AK15" i="7"/>
  <c r="AN13" i="7"/>
  <c r="AK13" i="7"/>
  <c r="AG60" i="7"/>
  <c r="AD63" i="7"/>
  <c r="AD64" i="7" s="1"/>
  <c r="AD65" i="7" s="1"/>
  <c r="AF77" i="7"/>
  <c r="AF78" i="7" s="1"/>
  <c r="AF79" i="7" s="1"/>
  <c r="AH77" i="7"/>
  <c r="AH78" i="7" s="1"/>
  <c r="AH79" i="7" s="1"/>
  <c r="AG77" i="7"/>
  <c r="AG78" i="7" s="1"/>
  <c r="AG79" i="7" s="1"/>
  <c r="AK63" i="7"/>
  <c r="AK64" i="7" s="1"/>
  <c r="AK65" i="7" s="1"/>
  <c r="AN63" i="7"/>
  <c r="AN64" i="7" s="1"/>
  <c r="AN65" i="7" s="1"/>
  <c r="AI63" i="7"/>
  <c r="AI64" i="7" s="1"/>
  <c r="AI65" i="7" s="1"/>
  <c r="AL63" i="7"/>
  <c r="AL64" i="7" s="1"/>
  <c r="AL65" i="7" s="1"/>
  <c r="AH27" i="9"/>
  <c r="AE32" i="9"/>
  <c r="AE37" i="9" s="1"/>
  <c r="AD32" i="9"/>
  <c r="AD37" i="9" s="1"/>
  <c r="AI30" i="9"/>
  <c r="AG30" i="9"/>
  <c r="AH30" i="9" s="1"/>
  <c r="AF32" i="9"/>
  <c r="AF37" i="9" s="1"/>
  <c r="AF9" i="7" s="1"/>
  <c r="AF29" i="7" s="1"/>
  <c r="AD29" i="7"/>
  <c r="I29" i="12" l="1"/>
  <c r="P24" i="12"/>
  <c r="P36" i="12" s="1"/>
  <c r="P33" i="12"/>
  <c r="K25" i="12"/>
  <c r="K29" i="12" s="1"/>
  <c r="K36" i="12"/>
  <c r="O24" i="12"/>
  <c r="O33" i="12"/>
  <c r="L25" i="12"/>
  <c r="L36" i="12"/>
  <c r="M25" i="12"/>
  <c r="M36" i="12"/>
  <c r="J29" i="12"/>
  <c r="I22" i="13"/>
  <c r="T34" i="12"/>
  <c r="R21" i="12"/>
  <c r="AN12" i="7"/>
  <c r="AK12" i="7"/>
  <c r="H12" i="13"/>
  <c r="Y10" i="12"/>
  <c r="Y20" i="12" s="1"/>
  <c r="Y32" i="12" s="1"/>
  <c r="X20" i="12"/>
  <c r="X32" i="12" s="1"/>
  <c r="AA12" i="12"/>
  <c r="AA10" i="12"/>
  <c r="W22" i="12"/>
  <c r="J11" i="13"/>
  <c r="AL7" i="7"/>
  <c r="AA9" i="12"/>
  <c r="Y9" i="12"/>
  <c r="Y19" i="12" s="1"/>
  <c r="Y31" i="12" s="1"/>
  <c r="X19" i="12"/>
  <c r="X31" i="12" s="1"/>
  <c r="X22" i="12"/>
  <c r="X34" i="12" s="1"/>
  <c r="Y12" i="12"/>
  <c r="Y22" i="12" s="1"/>
  <c r="Y34" i="12" s="1"/>
  <c r="AE29" i="7"/>
  <c r="N24" i="12"/>
  <c r="G21" i="13"/>
  <c r="G23" i="13" s="1"/>
  <c r="G24" i="13" s="1"/>
  <c r="L13" i="14"/>
  <c r="Z12" i="12"/>
  <c r="L20" i="13"/>
  <c r="AH8" i="7"/>
  <c r="W10" i="12"/>
  <c r="S21" i="12"/>
  <c r="Q21" i="12"/>
  <c r="Q33" i="12" s="1"/>
  <c r="T11" i="12"/>
  <c r="I10" i="13" s="1"/>
  <c r="I12" i="13" s="1"/>
  <c r="V11" i="12"/>
  <c r="X11" i="12"/>
  <c r="AJ60" i="7"/>
  <c r="AG63" i="7"/>
  <c r="AG64" i="7" s="1"/>
  <c r="AG65" i="7" s="1"/>
  <c r="AK16" i="7"/>
  <c r="AN16" i="7"/>
  <c r="AI77" i="7"/>
  <c r="AI78" i="7" s="1"/>
  <c r="AI79" i="7" s="1"/>
  <c r="AL77" i="7"/>
  <c r="AL78" i="7" s="1"/>
  <c r="AL79" i="7" s="1"/>
  <c r="AM77" i="7"/>
  <c r="AM78" i="7" s="1"/>
  <c r="AM79" i="7" s="1"/>
  <c r="AJ77" i="7"/>
  <c r="AJ78" i="7" s="1"/>
  <c r="AJ79" i="7" s="1"/>
  <c r="AN77" i="7"/>
  <c r="AN78" i="7" s="1"/>
  <c r="AN79" i="7" s="1"/>
  <c r="AK77" i="7"/>
  <c r="AK78" i="7" s="1"/>
  <c r="AK79" i="7" s="1"/>
  <c r="AK27" i="9"/>
  <c r="AG29" i="7"/>
  <c r="AH32" i="9"/>
  <c r="AH37" i="9" s="1"/>
  <c r="AG32" i="9"/>
  <c r="AG37" i="9" s="1"/>
  <c r="AJ30" i="9"/>
  <c r="AK30" i="9" s="1"/>
  <c r="AL30" i="9"/>
  <c r="AI32" i="9"/>
  <c r="AI37" i="9" s="1"/>
  <c r="AI9" i="7" s="1"/>
  <c r="AI29" i="7" s="1"/>
  <c r="Z19" i="12"/>
  <c r="Z31" i="12" s="1"/>
  <c r="L12" i="14" l="1"/>
  <c r="L16" i="14"/>
  <c r="M29" i="12"/>
  <c r="L29" i="12"/>
  <c r="J22" i="13"/>
  <c r="W34" i="12"/>
  <c r="R24" i="12"/>
  <c r="R33" i="12"/>
  <c r="S24" i="12"/>
  <c r="S33" i="12"/>
  <c r="P25" i="12"/>
  <c r="Q28" i="12" s="1"/>
  <c r="O25" i="12"/>
  <c r="P29" i="12" s="1"/>
  <c r="O36" i="12"/>
  <c r="N25" i="12"/>
  <c r="N29" i="12" s="1"/>
  <c r="N36" i="12"/>
  <c r="U21" i="12"/>
  <c r="AK8" i="7"/>
  <c r="AC10" i="12" s="1"/>
  <c r="Z10" i="12"/>
  <c r="AB10" i="12"/>
  <c r="AB20" i="12" s="1"/>
  <c r="AB32" i="12" s="1"/>
  <c r="AA20" i="12"/>
  <c r="AA32" i="12" s="1"/>
  <c r="AD10" i="12"/>
  <c r="AB12" i="12"/>
  <c r="AB22" i="12" s="1"/>
  <c r="AB34" i="12" s="1"/>
  <c r="AA22" i="12"/>
  <c r="AA34" i="12" s="1"/>
  <c r="AA11" i="12"/>
  <c r="AD12" i="12"/>
  <c r="AA19" i="12"/>
  <c r="AA31" i="12" s="1"/>
  <c r="AB9" i="12"/>
  <c r="AB19" i="12" s="1"/>
  <c r="AB31" i="12" s="1"/>
  <c r="AD9" i="12"/>
  <c r="AH29" i="7"/>
  <c r="Q24" i="12"/>
  <c r="H21" i="13"/>
  <c r="H23" i="13" s="1"/>
  <c r="H24" i="13" s="1"/>
  <c r="AC12" i="12"/>
  <c r="L11" i="13" s="1"/>
  <c r="V21" i="12"/>
  <c r="T21" i="12"/>
  <c r="T33" i="12" s="1"/>
  <c r="AN27" i="9"/>
  <c r="Y11" i="12"/>
  <c r="W11" i="12"/>
  <c r="J10" i="13" s="1"/>
  <c r="J12" i="13" s="1"/>
  <c r="AM60" i="7"/>
  <c r="AM63" i="7" s="1"/>
  <c r="AM64" i="7" s="1"/>
  <c r="AM65" i="7" s="1"/>
  <c r="AJ63" i="7"/>
  <c r="AJ64" i="7" s="1"/>
  <c r="AJ65" i="7" s="1"/>
  <c r="AJ29" i="7"/>
  <c r="AM30" i="9"/>
  <c r="AN30" i="9" s="1"/>
  <c r="AL32" i="9"/>
  <c r="AL37" i="9" s="1"/>
  <c r="AL9" i="7" s="1"/>
  <c r="AD11" i="12" s="1"/>
  <c r="AK32" i="9"/>
  <c r="AK37" i="9" s="1"/>
  <c r="AJ32" i="9"/>
  <c r="AJ37" i="9" s="1"/>
  <c r="AN7" i="7"/>
  <c r="AF9" i="12" s="1"/>
  <c r="U24" i="12" l="1"/>
  <c r="U33" i="12"/>
  <c r="Q25" i="12"/>
  <c r="Q29" i="12" s="1"/>
  <c r="Q36" i="12"/>
  <c r="S25" i="12"/>
  <c r="S36" i="12"/>
  <c r="O29" i="12"/>
  <c r="R25" i="12"/>
  <c r="R36" i="12"/>
  <c r="V24" i="12"/>
  <c r="V33" i="12"/>
  <c r="X21" i="12"/>
  <c r="AL29" i="7"/>
  <c r="AN8" i="7"/>
  <c r="AF10" i="12" s="1"/>
  <c r="AE9" i="12"/>
  <c r="AE19" i="12" s="1"/>
  <c r="AE31" i="12" s="1"/>
  <c r="AD19" i="12"/>
  <c r="AD31" i="12" s="1"/>
  <c r="AF12" i="12"/>
  <c r="M13" i="14"/>
  <c r="AE10" i="12"/>
  <c r="AE20" i="12" s="1"/>
  <c r="AE32" i="12" s="1"/>
  <c r="AD20" i="12"/>
  <c r="AD32" i="12" s="1"/>
  <c r="AE11" i="12"/>
  <c r="AE12" i="12"/>
  <c r="AE22" i="12" s="1"/>
  <c r="AE34" i="12" s="1"/>
  <c r="AD22" i="12"/>
  <c r="AD34" i="12" s="1"/>
  <c r="Z11" i="12"/>
  <c r="T24" i="12"/>
  <c r="I21" i="13"/>
  <c r="I23" i="13" s="1"/>
  <c r="I24" i="13" s="1"/>
  <c r="AC19" i="12"/>
  <c r="W21" i="12"/>
  <c r="W33" i="12" s="1"/>
  <c r="Y21" i="12"/>
  <c r="AM29" i="7"/>
  <c r="AN32" i="9"/>
  <c r="AN37" i="9" s="1"/>
  <c r="AM32" i="9"/>
  <c r="AM37" i="9" s="1"/>
  <c r="M12" i="14" l="1"/>
  <c r="M16" i="14"/>
  <c r="N13" i="14"/>
  <c r="S29" i="12"/>
  <c r="U25" i="12"/>
  <c r="U36" i="12"/>
  <c r="Y24" i="12"/>
  <c r="Y33" i="12"/>
  <c r="AF19" i="12"/>
  <c r="AF31" i="12" s="1"/>
  <c r="AC31" i="12"/>
  <c r="X24" i="12"/>
  <c r="X33" i="12"/>
  <c r="T25" i="12"/>
  <c r="T29" i="12" s="1"/>
  <c r="T36" i="12"/>
  <c r="R29" i="12"/>
  <c r="V25" i="12"/>
  <c r="V36" i="12"/>
  <c r="AC11" i="12"/>
  <c r="AK29" i="7"/>
  <c r="W24" i="12"/>
  <c r="J21" i="13"/>
  <c r="J23" i="13" s="1"/>
  <c r="J24" i="13" s="1"/>
  <c r="AB11" i="12"/>
  <c r="AB21" i="12" s="1"/>
  <c r="AA21" i="12"/>
  <c r="AA33" i="12" s="1"/>
  <c r="N16" i="14" l="1"/>
  <c r="N12" i="14"/>
  <c r="O13" i="14"/>
  <c r="U29" i="12"/>
  <c r="X25" i="12"/>
  <c r="X36" i="12"/>
  <c r="AB24" i="12"/>
  <c r="AB33" i="12"/>
  <c r="V29" i="12"/>
  <c r="Y25" i="12"/>
  <c r="Y36" i="12"/>
  <c r="W25" i="12"/>
  <c r="W29" i="12" s="1"/>
  <c r="W36" i="12"/>
  <c r="AF11" i="12"/>
  <c r="AN29" i="7"/>
  <c r="AA24" i="12"/>
  <c r="AD21" i="12"/>
  <c r="AE21" i="12"/>
  <c r="P13" i="14" l="1"/>
  <c r="O16" i="14"/>
  <c r="O12" i="14"/>
  <c r="X29" i="12"/>
  <c r="Y29" i="12"/>
  <c r="AD24" i="12"/>
  <c r="AD33" i="12"/>
  <c r="AB25" i="12"/>
  <c r="AB36" i="12"/>
  <c r="AE24" i="12"/>
  <c r="AE33" i="12"/>
  <c r="AA25" i="12"/>
  <c r="AA36" i="12"/>
  <c r="L10" i="13"/>
  <c r="L12" i="13" s="1"/>
  <c r="AB29" i="12" l="1"/>
  <c r="AC27" i="12"/>
  <c r="Q13" i="14"/>
  <c r="P16" i="14"/>
  <c r="P12" i="14"/>
  <c r="AE25" i="12"/>
  <c r="AE36" i="12"/>
  <c r="AD25" i="12"/>
  <c r="AD36" i="12"/>
  <c r="Z21" i="12"/>
  <c r="K11" i="13"/>
  <c r="K10" i="13"/>
  <c r="Z22" i="12"/>
  <c r="AE29" i="12" l="1"/>
  <c r="R13" i="14"/>
  <c r="Q16" i="14"/>
  <c r="Q12" i="14"/>
  <c r="K22" i="13"/>
  <c r="K23" i="13" s="1"/>
  <c r="K24" i="13" s="1"/>
  <c r="Z34" i="12"/>
  <c r="K21" i="13"/>
  <c r="Z33" i="12"/>
  <c r="Z24" i="12"/>
  <c r="K12" i="13"/>
  <c r="AC22" i="12"/>
  <c r="AC21" i="12"/>
  <c r="S13" i="14" l="1"/>
  <c r="R16" i="14"/>
  <c r="R12" i="14"/>
  <c r="AF21" i="12"/>
  <c r="AF33" i="12" s="1"/>
  <c r="AC33" i="12"/>
  <c r="Z25" i="12"/>
  <c r="Z29" i="12" s="1"/>
  <c r="Z36" i="12"/>
  <c r="AF22" i="12"/>
  <c r="AF34" i="12" s="1"/>
  <c r="AC34" i="12"/>
  <c r="AC24" i="12"/>
  <c r="L21" i="13"/>
  <c r="AC28" i="12"/>
  <c r="L22" i="13"/>
  <c r="AA29" i="12" l="1"/>
  <c r="T13" i="14"/>
  <c r="S16" i="14"/>
  <c r="S12" i="14"/>
  <c r="AF24" i="12"/>
  <c r="AF25" i="12" s="1"/>
  <c r="AF29" i="12" s="1"/>
  <c r="AC25" i="12"/>
  <c r="AC29" i="12" s="1"/>
  <c r="AC36" i="12"/>
  <c r="L23" i="13"/>
  <c r="L24" i="13" s="1"/>
  <c r="U13" i="14" l="1"/>
  <c r="T16" i="14"/>
  <c r="T12" i="14"/>
  <c r="AF36" i="12"/>
  <c r="AD29" i="12"/>
  <c r="V13" i="14" l="1"/>
  <c r="U16" i="14"/>
  <c r="U12" i="14"/>
  <c r="W13" i="14" l="1"/>
  <c r="V16" i="14"/>
  <c r="V12" i="14"/>
  <c r="X13" i="14" l="1"/>
  <c r="W16" i="14"/>
  <c r="W12" i="14"/>
  <c r="Y13" i="14" l="1"/>
  <c r="X16" i="14"/>
  <c r="X12" i="14"/>
  <c r="Z13" i="14" l="1"/>
  <c r="Y16" i="14"/>
  <c r="Y12" i="14"/>
  <c r="AA13" i="14" l="1"/>
  <c r="Z16" i="14"/>
  <c r="Z12" i="14"/>
  <c r="AB13" i="14" l="1"/>
  <c r="AA16" i="14"/>
  <c r="AA12" i="14"/>
  <c r="AC13" i="14" l="1"/>
  <c r="AB16" i="14"/>
  <c r="AB12" i="14"/>
  <c r="AC16" i="14" l="1"/>
  <c r="AC12"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tc={C1C00428-5E03-4C43-B800-EE4B9B4656EE}</author>
    <author>tc={63CB5C51-F4EB-4075-AE94-C5E9A885146E}</author>
    <author>tc={D54A46C6-B7B9-4A94-938A-BB49CDFC1221}</author>
    <author>tc={32FD345F-75A8-404B-AC52-719CB1FF4116}</author>
    <author>tc={5C786071-0A50-4B6B-B51A-3D5126356234}</author>
    <author>tc={F6712713-B6EC-43BF-8036-B0A627386C92}</author>
    <author>tc={E639BDAC-4219-42C3-9917-0BD6F960D9DB}</author>
    <author>tc={A356A7C0-A0E5-47AE-9993-8CBB3DC8C150}</author>
    <author>tc={C21ED08A-6DB0-4E19-83A6-389493EF6B05}</author>
  </authors>
  <commentList>
    <comment ref="C4" authorId="0" shapeId="0" xr:uid="{C1C00428-5E03-4C43-B800-EE4B9B4656EE}">
      <text>
        <t>[Threaded comment]
Your version of Excel allows you to read this threaded comment; however, any edits to it will get removed if the file is opened in a newer version of Excel. Learn more: https://go.microsoft.com/fwlink/?linkid=870924
Comment:
    As per Indian Express article, Indian software exports in the current financial year are estimated to be worth $170 billion USD with Karnataka contributing an estimated 38 per cent</t>
      </text>
    </comment>
    <comment ref="C6" authorId="1" shapeId="0" xr:uid="{63CB5C51-F4EB-4075-AE94-C5E9A885146E}">
      <text>
        <t>[Threaded comment]
Your version of Excel allows you to read this threaded comment; however, any edits to it will get removed if the file is opened in a newer version of Excel. Learn more: https://go.microsoft.com/fwlink/?linkid=870924
Comment:
    ESDM and Startups based on Mr. Mohandas Pai discussions</t>
      </text>
    </comment>
    <comment ref="C7" authorId="2" shapeId="0" xr:uid="{D54A46C6-B7B9-4A94-938A-BB49CDFC1221}">
      <text>
        <t>[Threaded comment]
Your version of Excel allows you to read this threaded comment; however, any edits to it will get removed if the file is opened in a newer version of Excel. Learn more: https://go.microsoft.com/fwlink/?linkid=870924
Comment:
    ~14000 startups in Karnataka out of a total of  ~73,000 startups in India, we arrive at ~20%</t>
      </text>
    </comment>
    <comment ref="C10" authorId="3" shapeId="0" xr:uid="{32FD345F-75A8-404B-AC52-719CB1FF4116}">
      <text>
        <t>[Threaded comment]
Your version of Excel allows you to read this threaded comment; however, any edits to it will get removed if the file is opened in a newer version of Excel. Learn more: https://go.microsoft.com/fwlink/?linkid=870924
Comment:
    Based on Beyond Bengaluru Report 2020 estimation figures for both IT exports and IT domestic in Total</t>
      </text>
    </comment>
    <comment ref="C12" authorId="4" shapeId="0" xr:uid="{5C786071-0A50-4B6B-B51A-3D5126356234}">
      <text>
        <t>[Threaded comment]
Your version of Excel allows you to read this threaded comment; however, any edits to it will get removed if the file is opened in a newer version of Excel. Learn more: https://go.microsoft.com/fwlink/?linkid=870924
Comment:
    ESDM and Startups based on Mr. Mohandas Pai discussions</t>
      </text>
    </comment>
    <comment ref="C22" authorId="5" shapeId="0" xr:uid="{F6712713-B6EC-43BF-8036-B0A627386C92}">
      <text>
        <t>[Threaded comment]
Your version of Excel allows you to read this threaded comment; however, any edits to it will get removed if the file is opened in a newer version of Excel. Learn more: https://go.microsoft.com/fwlink/?linkid=870924
Comment:
    Karnataka revenue share considered at 20% of India value</t>
      </text>
    </comment>
    <comment ref="D27" authorId="6" shapeId="0" xr:uid="{E639BDAC-4219-42C3-9917-0BD6F960D9DB}">
      <text>
        <t>[Threaded comment]
Your version of Excel allows you to read this threaded comment; however, any edits to it will get removed if the file is opened in a newer version of Excel. Learn more: https://go.microsoft.com/fwlink/?linkid=870924
Comment:
    Assumptions of percentages based on the BCG estimation for Karnataka based on 19 themes as prepared by BCG (Followed MeitY report for reference)</t>
      </text>
    </comment>
    <comment ref="G27" authorId="7" shapeId="0" xr:uid="{A356A7C0-A0E5-47AE-9993-8CBB3DC8C150}">
      <text>
        <t>[Threaded comment]
Your version of Excel allows you to read this threaded comment; however, any edits to it will get removed if the file is opened in a newer version of Excel. Learn more: https://go.microsoft.com/fwlink/?linkid=870924
Comment:
    Assumed at a consistent rate of 15% (Average of all the 17 sub sectors considered for estimation)</t>
      </text>
    </comment>
    <comment ref="H27" authorId="8" shapeId="0" xr:uid="{C21ED08A-6DB0-4E19-83A6-389493EF6B05}">
      <text>
        <t>[Threaded comment]
Your version of Excel allows you to read this threaded comment; however, any edits to it will get removed if the file is opened in a newer version of Excel. Learn more: https://go.microsoft.com/fwlink/?linkid=870924
Comment:
    Assumed at a consistent growth rate of 10% till the year 2030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tc={F88FEF51-DB79-47DB-9D15-A418837611E1}</author>
    <author>tc={F218B7E6-6423-463B-91C9-56CA6ADD5B6E}</author>
    <author>tc={4B537AA3-C374-4978-B898-0B1FA0CC3296}</author>
    <author>tc={FE98A1CE-6BFB-4C49-A771-AA7473A0169C}</author>
    <author>tc={DE3F6258-425F-4F05-825C-097495E35F80}</author>
    <author>tc={DB4AD0FA-B964-43AE-B51F-1F92DB9F8464}</author>
    <author>tc={1E013AB5-0896-4CB9-94D8-DF0345BE1E52}</author>
    <author>tc={3FFF9E49-3428-4519-8894-6C44BBC0C129}</author>
    <author>tc={23295D90-2646-4254-8CC4-CE2194189F6F}</author>
    <author>tc={A3225BA9-ACAE-4AD4-AC45-0B42F5CE5D3D}</author>
    <author>tc={DFB7FFCF-CD36-4C6D-9817-065C174A2C3C}</author>
    <author>tc={8DDFDD9F-BF29-481D-809A-679A2CC14612}</author>
    <author>tc={E091FBD9-7081-4CBD-A788-983BA7D2C691}</author>
    <author>tc={BF5B01AB-D4D9-4215-9024-866273B2B01B}</author>
    <author>tc={52AAB617-4EDC-4018-AFEC-3A47CAB1E5DC}</author>
    <author>tc={87E82FF5-7873-46EF-8409-F4B005D75DD3}</author>
    <author>tc={1B07C5FF-D4EF-47AF-9346-24C0CA6FE3B9}</author>
    <author>tc={A4E95D6B-0B14-42B7-A01D-4B080CE45047}</author>
    <author>tc={04146031-33C5-4F3C-A752-D935008BD4AD}</author>
    <author>tc={A6C19791-3817-4422-8EC7-6C23393FF54F}</author>
    <author>tc={F6E7E2F1-13E7-450F-9615-95E69D9FD473}</author>
    <author>tc={EDD98492-B6F3-4FB9-88E0-EC918445EEEA}</author>
    <author>tc={8268B101-5C0B-4122-BBFF-3F34CE9C48B8}</author>
    <author>tc={512E829F-25D8-4FF4-BDA5-0AED44968E90}</author>
    <author>tc={C81079B8-B03C-4050-A222-14EF20ED006C}</author>
    <author>tc={91E9A600-4B88-496E-8797-4AFA8B762920}</author>
    <author>tc={36E18C87-0935-4DEC-A433-9BEACD06EC78}</author>
    <author>tc={6B4CD208-AD80-4CAB-9A58-07523A895D29}</author>
    <author>tc={7E5DD62E-06AC-4402-9BFF-21821D5A4B2E}</author>
    <author>tc={C4CAC289-F4C3-4F19-924E-7786AF09D1E8}</author>
    <author>tc={09EA7C11-B870-42B4-8F0F-2987A11D7AA3}</author>
    <author>tc={B2C8C2A7-0177-4111-AFFD-A3B077758DCC}</author>
    <author>tc={A1EA94A4-DD75-4A05-804E-38C940DDBA81}</author>
    <author>tc={96879DCB-8232-4F53-B96F-2F74F4A5EB80}</author>
    <author>tc={5F5DA3E4-6A04-46F7-835C-5FF6FD4BA4CD}</author>
    <author>tc={934AFC6D-E02D-45F9-8E13-84C84591B962}</author>
    <author>tc={D764AB11-C9CA-4813-8F4E-D228FECF70DF}</author>
    <author>tc={6BE57AB1-41AD-4747-80FB-B2140E8F9A80}</author>
    <author>tc={B0777845-EB2B-49F3-A993-72509497D2DE}</author>
    <author>tc={DA6F0685-FEFD-4EEE-AB73-3219F7BF648C}</author>
    <author>tc={652D8F07-5EED-4102-A49C-CF7118419FA9}</author>
    <author>tc={05155531-18BC-4E86-8391-FC73A024D9BF}</author>
    <author>tc={E4E03E29-20E0-4B8F-A0B7-3386C7A7265D}</author>
    <author>tc={2A834014-C70A-4E9B-AE28-2DBB6DDC397D}</author>
    <author>tc={D95A2E47-1B42-4CC6-A97F-4DCA0CEAB67C}</author>
    <author>tc={6C834F03-5BB1-4EB2-ABA1-35340CDAA481}</author>
    <author>tc={2FFE2005-6CE6-4CC8-A836-C25D5969F8E9}</author>
    <author>tc={D41E203E-07E6-45D1-B36D-2336A54D3211}</author>
    <author>tc={A9DA0767-074B-4CBC-8FEE-AECA5860BD8E}</author>
    <author>tc={FCF7CAEA-3A64-4AB8-8D97-D383B7135B0F}</author>
    <author>tc={4B7766B7-D962-4404-A0BF-533169D8D566}</author>
  </authors>
  <commentList>
    <comment ref="B6" authorId="0" shapeId="0" xr:uid="{F88FEF51-DB79-47DB-9D15-A418837611E1}">
      <text>
        <t>[Threaded comment]
Your version of Excel allows you to read this threaded comment; however, any edits to it will get removed if the file is opened in a newer version of Excel. Learn more: https://go.microsoft.com/fwlink/?linkid=870924
Comment:
    All the 4 sub sectors for digital economy including IT Exports, IT Domestic, ESDM and Startups have been considered based on the estimation base figures given by Mr. Mohandas Pai and we have calculated the figures for the rest of the tenure accordingly based on growth rates</t>
      </text>
    </comment>
    <comment ref="B7" authorId="1" shapeId="0" xr:uid="{F218B7E6-6423-463B-91C9-56CA6ADD5B6E}">
      <text>
        <t>[Threaded comment]
Your version of Excel allows you to read this threaded comment; however, any edits to it will get removed if the file is opened in a newer version of Excel. Learn more: https://go.microsoft.com/fwlink/?linkid=870924
Comment:
    As per a press release by Ministry of Commerce and Industry - Total Services Exports during current FY go past $ 226 Billion (Assuming 50% of the total services exports comprise of IT exports - we arrive at $113 Bn)           In another article published by economic times - Piyush Goyal has stated that targeting ~$ 650 Bn of exports in this financial year (400 Bn would be merchandise exports and $250 Bn would be service exports - 50% would be $ 125 Bn)    Additionally in economics times article, according to RBI, software services exports went up to $ 148.3 Bn in the year 2020-21 (2.1% increase)</t>
      </text>
    </comment>
    <comment ref="D7" authorId="2" shapeId="0" xr:uid="{4B537AA3-C374-4978-B898-0B1FA0CC3296}">
      <text>
        <t>[Threaded comment]
Your version of Excel allows you to read this threaded comment; however, any edits to it will get removed if the file is opened in a newer version of Excel. Learn more: https://go.microsoft.com/fwlink/?linkid=870924
Comment:
    Assuming 12% increase over 2020-21 data for IT exports, we arrive at ~ $ 165 Bn                                                       Additionally as per Indian Express article dated March 6th 2022, Indian software exports in the current financial year are estimated to be worth $170 billion USD with Karnataka contributing an estimated 38 per cent **Additionally considering net exports of ~$110 Bn and Remittances of ~85 Bn (Having total current service exports of ~258 Bn and the balance would be "Others"</t>
      </text>
    </comment>
    <comment ref="E7" authorId="3" shapeId="0" xr:uid="{FE98A1CE-6BFB-4C49-A771-AA7473A0169C}">
      <text>
        <t>[Threaded comment]
Your version of Excel allows you to read this threaded comment; however, any edits to it will get removed if the file is opened in a newer version of Excel. Learn more: https://go.microsoft.com/fwlink/?linkid=870924
Comment:
    As per Indian Express article, Indian software exports in the current financial year are estimated to be worth $170 billion USD with Karnataka contributing an estimated 38 per cent</t>
      </text>
    </comment>
    <comment ref="G7" authorId="4" shapeId="0" xr:uid="{DE3F6258-425F-4F05-825C-097495E35F80}">
      <text>
        <t>[Threaded comment]
Your version of Excel allows you to read this threaded comment; however, any edits to it will get removed if the file is opened in a newer version of Excel. Learn more: https://go.microsoft.com/fwlink/?linkid=870924
Comment:
    IT exports and IT domestic considered together based on Beyond Bengaluru Report 2020</t>
      </text>
    </comment>
    <comment ref="P7" authorId="5" shapeId="0" xr:uid="{DB4AD0FA-B964-43AE-B51F-1F92DB9F8464}">
      <text>
        <t>[Threaded comment]
Your version of Excel allows you to read this threaded comment; however, any edits to it will get removed if the file is opened in a newer version of Excel. Learn more: https://go.microsoft.com/fwlink/?linkid=870924
Comment:
    IT exports and IT domestic considered together</t>
      </text>
    </comment>
    <comment ref="AK7" authorId="6" shapeId="0" xr:uid="{1E013AB5-0896-4CB9-94D8-DF0345BE1E52}">
      <text>
        <t>[Threaded comment]
Your version of Excel allows you to read this threaded comment; however, any edits to it will get removed if the file is opened in a newer version of Excel. Learn more: https://go.microsoft.com/fwlink/?linkid=870924
Comment:
    Assumed to reach ~10 Bn USD as per Beyond Bengaluru Report)</t>
      </text>
    </comment>
    <comment ref="B8" authorId="7" shapeId="0" xr:uid="{3FFF9E49-3428-4519-8894-6C44BBC0C129}">
      <text>
        <t>[Threaded comment]
Your version of Excel allows you to read this threaded comment; however, any edits to it will get removed if the file is opened in a newer version of Excel. Learn more: https://go.microsoft.com/fwlink/?linkid=870924
Comment:
    Assuming $ 227 Bn of Total Revenue during the year 22, IT Domestic would be total minus the IT Exports which would arrive at ~57 Bn                                 Referred IBEF report and Business standard article)</t>
      </text>
    </comment>
    <comment ref="D8" authorId="8" shapeId="0" xr:uid="{23295D90-2646-4254-8CC4-CE2194189F6F}">
      <text>
        <t>[Threaded comment]
Your version of Excel allows you to read this threaded comment; however, any edits to it will get removed if the file is opened in a newer version of Excel. Learn more: https://go.microsoft.com/fwlink/?linkid=870924
Comment:
    Assuming $ 227 Bn of Total Revenue during the year 22, IT Domestic would be total minus the IT Exports which would arrive at ~57 Bn (We have considered at $ 57 Bn)                                 Referred IBEF report and Business standard article)</t>
      </text>
    </comment>
    <comment ref="B9" authorId="9" shapeId="0" xr:uid="{A3225BA9-ACAE-4AD4-AC45-0B42F5CE5D3D}">
      <text>
        <t>[Threaded comment]
Your version of Excel allows you to read this threaded comment; however, any edits to it will get removed if the file is opened in a newer version of Excel. Learn more: https://go.microsoft.com/fwlink/?linkid=870924
Comment:
    As per ICEA estimates</t>
      </text>
    </comment>
    <comment ref="C9" authorId="10" shapeId="0" xr:uid="{DFB7FFCF-CD36-4C6D-9817-065C174A2C3C}">
      <text>
        <t>[Threaded comment]
Your version of Excel allows you to read this threaded comment; however, any edits to it will get removed if the file is opened in a newer version of Excel. Learn more: https://go.microsoft.com/fwlink/?linkid=870924
Comment:
    To refer Tab "ESDM Sector" for breakup</t>
      </text>
    </comment>
    <comment ref="D9" authorId="11" shapeId="0" xr:uid="{8DDFDD9F-BF29-481D-809A-679A2CC14612}">
      <text>
        <t>[Threaded comment]
Your version of Excel allows you to read this threaded comment; however, any edits to it will get removed if the file is opened in a newer version of Excel. Learn more: https://go.microsoft.com/fwlink/?linkid=870924
Comment:
    As per ICEA estimates</t>
      </text>
    </comment>
    <comment ref="N9" authorId="12" shapeId="0" xr:uid="{E091FBD9-7081-4CBD-A788-983BA7D2C691}">
      <text>
        <t>[Threaded comment]
Your version of Excel allows you to read this threaded comment; however, any edits to it will get removed if the file is opened in a newer version of Excel. Learn more: https://go.microsoft.com/fwlink/?linkid=870924
Comment:
    Number based on ICEA projections</t>
      </text>
    </comment>
    <comment ref="Q9" authorId="13" shapeId="0" xr:uid="{BF5B01AB-D4D9-4215-9024-866273B2B01B}">
      <text>
        <t>[Threaded comment]
Your version of Excel allows you to read this threaded comment; however, any edits to it will get removed if the file is opened in a newer version of Excel. Learn more: https://go.microsoft.com/fwlink/?linkid=870924
Comment:
    Number based on ICEA projections</t>
      </text>
    </comment>
    <comment ref="T9" authorId="14" shapeId="0" xr:uid="{52AAB617-4EDC-4018-AFEC-3A47CAB1E5DC}">
      <text>
        <t>[Threaded comment]
Your version of Excel allows you to read this threaded comment; however, any edits to it will get removed if the file is opened in a newer version of Excel. Learn more: https://go.microsoft.com/fwlink/?linkid=870924
Comment:
    Number based on ICEA projections</t>
      </text>
    </comment>
    <comment ref="W9" authorId="15" shapeId="0" xr:uid="{87E82FF5-7873-46EF-8409-F4B005D75DD3}">
      <text>
        <t>[Threaded comment]
Your version of Excel allows you to read this threaded comment; however, any edits to it will get removed if the file is opened in a newer version of Excel. Learn more: https://go.microsoft.com/fwlink/?linkid=870924
Comment:
    Number based on ICEA projections and also an estimate as per IBEF, it states that the National Policy on Electronics (NPE 2019) aims to facilitate a turnover of US$ 400 billion in domestic manufacturing by 2025
https://www.ibef.org/industry/electronics-system-design-manufacturing-esdm</t>
      </text>
    </comment>
    <comment ref="B10" authorId="16" shapeId="0" xr:uid="{1B07C5FF-D4EF-47AF-9346-24C0CA6FE3B9}">
      <text>
        <t>[Threaded comment]
Your version of Excel allows you to read this threaded comment; however, any edits to it will get removed if the file is opened in a newer version of Excel. Learn more: https://go.microsoft.com/fwlink/?linkid=870924
Comment:
    As per Inc 42 report on financial performance of startups considering ~$ 7.2 Bn in FY 20</t>
      </text>
    </comment>
    <comment ref="D10" authorId="17" shapeId="0" xr:uid="{A4E95D6B-0B14-42B7-A01D-4B080CE45047}">
      <text>
        <t>[Threaded comment]
Your version of Excel allows you to read this threaded comment; however, any edits to it will get removed if the file is opened in a newer version of Excel. Learn more: https://go.microsoft.com/fwlink/?linkid=870924
Comment:
    As per Inc 42 report on financial performance of startups considering ~$ 7.2 Bn in FY 20. Based on Mr. Pai's guidance, we have considered it at ~10 Bn</t>
      </text>
    </comment>
    <comment ref="B11" authorId="18" shapeId="0" xr:uid="{04146031-33C5-4F3C-A752-D935008BD4AD}">
      <text>
        <t>[Threaded comment]
Your version of Excel allows you to read this threaded comment; however, any edits to it will get removed if the file is opened in a newer version of Excel. Learn more: https://go.microsoft.com/fwlink/?linkid=870924
Comment:
    Assumptions for the sub sectors based on McKinsey Global Institute Digital India Report for India level (Page 110) - MeitY Report and                                      and the assumptions based on the BCG estimation for Karnataka based on 19 themes as prepared by BCG (Followed MeitY report for reference)</t>
      </text>
    </comment>
    <comment ref="E11" authorId="19" shapeId="0" xr:uid="{A6C19791-3817-4422-8EC7-6C23393FF54F}">
      <text>
        <t>[Threaded comment]
Your version of Excel allows you to read this threaded comment; however, any edits to it will get removed if the file is opened in a newer version of Excel. Learn more: https://go.microsoft.com/fwlink/?linkid=870924
Comment:
    CAGR estimation done for Karnataka to reach the targets as set in by BCG estimation for Karnataka based on 19 themes as prepared by BCG (Followed MeitY report for reference)</t>
      </text>
    </comment>
    <comment ref="D12" authorId="20" shapeId="0" xr:uid="{F6E7E2F1-13E7-450F-9615-95E69D9FD473}">
      <text>
        <t>[Threaded comment]
Your version of Excel allows you to read this threaded comment; however, any edits to it will get removed if the file is opened in a newer version of Excel. Learn more: https://go.microsoft.com/fwlink/?linkid=870924
Comment:
    Base value considered at ~22Bn https://www.statista.com/outlook/tmo/communication-services/india</t>
      </text>
    </comment>
    <comment ref="E12" authorId="21" shapeId="0" xr:uid="{EDD98492-B6F3-4FB9-88E0-EC918445EEEA}">
      <text>
        <t>[Threaded comment]
Your version of Excel allows you to read this threaded comment; however, any edits to it will get removed if the file is opened in a newer version of Excel. Learn more: https://go.microsoft.com/fwlink/?linkid=870924
Comment:
    Assuming 6.5% users are in Karnataka</t>
      </text>
    </comment>
    <comment ref="N12" authorId="22" shapeId="0" xr:uid="{8268B101-5C0B-4122-BBFF-3F34CE9C48B8}">
      <text>
        <t>[Threaded comment]
Your version of Excel allows you to read this threaded comment; however, any edits to it will get removed if the file is opened in a newer version of Excel. Learn more: https://go.microsoft.com/fwlink/?linkid=870924
Comment:
    Assumed at CAGR of 17.72% to reach 52 Bn by the year 2025</t>
      </text>
    </comment>
    <comment ref="O12" authorId="23" shapeId="0" xr:uid="{512E829F-25D8-4FF4-BDA5-0AED44968E90}">
      <text>
        <t>[Threaded comment]
Your version of Excel allows you to read this threaded comment; however, any edits to it will get removed if the file is opened in a newer version of Excel. Learn more: https://go.microsoft.com/fwlink/?linkid=870924
Comment:
    Assumed at CAGR of 23.59% to reach 3.5 Bn by 2025</t>
      </text>
    </comment>
    <comment ref="W12" authorId="24" shapeId="0" xr:uid="{C81079B8-B03C-4050-A222-14EF20ED006C}">
      <text>
        <t>[Threaded comment]
Your version of Excel allows you to read this threaded comment; however, any edits to it will get removed if the file is opened in a newer version of Excel. Learn more: https://go.microsoft.com/fwlink/?linkid=870924
Comment:
    These figures for India and Karnataka for all the other sub sectors have been worked out to match the assumptions based on the BCG estimation for Karnataka based on 19 themes as prepared by BCG (Followed MeitY report for reference)</t>
      </text>
    </comment>
    <comment ref="D13" authorId="25" shapeId="0" xr:uid="{91E9A600-4B88-496E-8797-4AFA8B762920}">
      <text>
        <t>[Threaded comment]
Your version of Excel allows you to read this threaded comment; however, any edits to it will get removed if the file is opened in a newer version of Excel. Learn more: https://go.microsoft.com/fwlink/?linkid=870924
Comment:
    Amount for calculation considered as per news article - https://timesofindia.indiatimes.com/business/india-business/govt-e-marketplace-sees-fy22-turnover-top-rs-1-lakh-crore/articleshow/90430548.cmshttps://economictimes.indiatimes.com/news/india/government-e-market-portal-eyes-rs-1-5-lakh-crore-worth-of-procurement-in-2022-23/articleshow/90425958.cms?from=mdrhttps://www.livemint.com/news/india/gem-eyes-rs-1-trillion-orders-in-fy22-11615386642152.html</t>
      </text>
    </comment>
    <comment ref="E13" authorId="26" shapeId="0" xr:uid="{36E18C87-0935-4DEC-A433-9BEACD06EC78}">
      <text>
        <t>[Threaded comment]
Your version of Excel allows you to read this threaded comment; however, any edits to it will get removed if the file is opened in a newer version of Excel. Learn more: https://go.microsoft.com/fwlink/?linkid=870924
Comment:
    Assumed at 10% efficiency gain for State</t>
      </text>
    </comment>
    <comment ref="N13" authorId="27" shapeId="0" xr:uid="{6B4CD208-AD80-4CAB-9A58-07523A895D29}">
      <text>
        <t>[Threaded comment]
Your version of Excel allows you to read this threaded comment; however, any edits to it will get removed if the file is opened in a newer version of Excel. Learn more: https://go.microsoft.com/fwlink/?linkid=870924
Comment:
    Assumed CAGR of 17.76% till 2025</t>
      </text>
    </comment>
    <comment ref="O13" authorId="28" shapeId="0" xr:uid="{7E5DD62E-06AC-4402-9BFF-21821D5A4B2E}">
      <text>
        <t>[Threaded comment]
Your version of Excel allows you to read this threaded comment; however, any edits to it will get removed if the file is opened in a newer version of Excel. Learn more: https://go.microsoft.com/fwlink/?linkid=870924
Comment:
    Assumed CAGR of 18.80%</t>
      </text>
    </comment>
    <comment ref="D14" authorId="29" shapeId="0" xr:uid="{C4CAC289-F4C3-4F19-924E-7786AF09D1E8}">
      <text>
        <t>[Threaded comment]
Your version of Excel allows you to read this threaded comment; however, any edits to it will get removed if the file is opened in a newer version of Excel. Learn more: https://go.microsoft.com/fwlink/?linkid=870924
Comment:
    Assumed based on Press information bureau and calculated for 21-22 at CAGR of 21% and continued the same CAGR till the year 2025 Also mentioned as 5 in Mckinsey report (Page 18) as per 2019 https://pib.gov.in/Pressreleaseshare.aspx?PRID=1616022</t>
      </text>
    </comment>
    <comment ref="E14" authorId="30" shapeId="0" xr:uid="{09EA7C11-B870-42B4-8F0F-2987A11D7AA3}">
      <text>
        <t>[Threaded comment]
Your version of Excel allows you to read this threaded comment; however, any edits to it will get removed if the file is opened in a newer version of Excel. Learn more: https://go.microsoft.com/fwlink/?linkid=870924
Comment:
    Assumed at 15% efficiency gain for State</t>
      </text>
    </comment>
    <comment ref="E15" authorId="31" shapeId="0" xr:uid="{B2C8C2A7-0177-4111-AFFD-A3B077758DCC}">
      <text>
        <t>[Threaded comment]
Your version of Excel allows you to read this threaded comment; however, any edits to it will get removed if the file is opened in a newer version of Excel. Learn more: https://go.microsoft.com/fwlink/?linkid=870924
Comment:
    Assumed at 8% share as per State's GDP contribution</t>
      </text>
    </comment>
    <comment ref="D21" authorId="32" shapeId="0" xr:uid="{A1EA94A4-DD75-4A05-804E-38C940DDBA81}">
      <text>
        <t>[Threaded comment]
Your version of Excel allows you to read this threaded comment; however, any edits to it will get removed if the file is opened in a newer version of Excel. Learn more: https://go.microsoft.com/fwlink/?linkid=870924
Comment:
    The assumptions are based on ~1Bn at current figures</t>
      </text>
    </comment>
    <comment ref="D22" authorId="33" shapeId="0" xr:uid="{96879DCB-8232-4F53-B96F-2F74F4A5EB80}">
      <text>
        <t>[Threaded comment]
Your version of Excel allows you to read this threaded comment; however, any edits to it will get removed if the file is opened in a newer version of Excel. Learn more: https://go.microsoft.com/fwlink/?linkid=870924
Comment:
    The assumptions are based on ~1Bn at current figures</t>
      </text>
    </comment>
    <comment ref="D23" authorId="34" shapeId="0" xr:uid="{5F5DA3E4-6A04-46F7-835C-5FF6FD4BA4CD}">
      <text>
        <t>[Threaded comment]
Your version of Excel allows you to read this threaded comment; however, any edits to it will get removed if the file is opened in a newer version of Excel. Learn more: https://go.microsoft.com/fwlink/?linkid=870924
Comment:
    The assumptions are based on ~1Bn at current figures</t>
      </text>
    </comment>
    <comment ref="D24" authorId="35" shapeId="0" xr:uid="{934AFC6D-E02D-45F9-8E13-84C84591B962}">
      <text>
        <t>[Threaded comment]
Your version of Excel allows you to read this threaded comment; however, any edits to it will get removed if the file is opened in a newer version of Excel. Learn more: https://go.microsoft.com/fwlink/?linkid=870924
Comment:
    The assumptions are based on ~1Bn at current figures</t>
      </text>
    </comment>
    <comment ref="D25" authorId="36" shapeId="0" xr:uid="{D764AB11-C9CA-4813-8F4E-D228FECF70DF}">
      <text>
        <t>[Threaded comment]
Your version of Excel allows you to read this threaded comment; however, any edits to it will get removed if the file is opened in a newer version of Excel. Learn more: https://go.microsoft.com/fwlink/?linkid=870924
Comment:
    The assumptions are based on ~1Bn at current figures</t>
      </text>
    </comment>
    <comment ref="D26" authorId="37" shapeId="0" xr:uid="{6BE57AB1-41AD-4747-80FB-B2140E8F9A80}">
      <text>
        <t>[Threaded comment]
Your version of Excel allows you to read this threaded comment; however, any edits to it will get removed if the file is opened in a newer version of Excel. Learn more: https://go.microsoft.com/fwlink/?linkid=870924
Comment:
    The assumptions are based on ~1Bn at current figures</t>
      </text>
    </comment>
    <comment ref="D27" authorId="38" shapeId="0" xr:uid="{B0777845-EB2B-49F3-A993-72509497D2DE}">
      <text>
        <t>[Threaded comment]
Your version of Excel allows you to read this threaded comment; however, any edits to it will get removed if the file is opened in a newer version of Excel. Learn more: https://go.microsoft.com/fwlink/?linkid=870924
Comment:
    The assumptions are based on ~1Bn at current figures</t>
      </text>
    </comment>
    <comment ref="D28" authorId="39" shapeId="0" xr:uid="{DA6F0685-FEFD-4EEE-AB73-3219F7BF648C}">
      <text>
        <t>[Threaded comment]
Your version of Excel allows you to read this threaded comment; however, any edits to it will get removed if the file is opened in a newer version of Excel. Learn more: https://go.microsoft.com/fwlink/?linkid=870924
Comment:
    The assumptions are based on ~1Bn at current figures</t>
      </text>
    </comment>
    <comment ref="B35" authorId="40" shapeId="0" xr:uid="{652D8F07-5EED-4102-A49C-CF7118419FA9}">
      <text>
        <t>[Threaded comment]
Your version of Excel allows you to read this threaded comment; however, any edits to it will get removed if the file is opened in a newer version of Excel. Learn more: https://go.microsoft.com/fwlink/?linkid=870924
Comment:
    Reference: Based on Mr. Mohandas Pai discussion                        Additional validation https://www.meity.gov.in/content/employment 
Additional Reference https://trak.in/tags/business/2022/02/17/indian-it-sector-now-has-50-lakh-employees-becomes-1-employer-in-india/</t>
      </text>
    </comment>
    <comment ref="B36" authorId="41" shapeId="0" xr:uid="{05155531-18BC-4E86-8391-FC73A024D9BF}">
      <text>
        <t>[Threaded comment]
Your version of Excel allows you to read this threaded comment; however, any edits to it will get removed if the file is opened in a newer version of Excel. Learn more: https://go.microsoft.com/fwlink/?linkid=870924
Comment:
    Considering 20% of exports value of 50,00,000</t>
      </text>
    </comment>
    <comment ref="I37" authorId="42" shapeId="0" xr:uid="{E4E03E29-20E0-4B8F-A0B7-3386C7A7265D}">
      <text>
        <t>[Threaded comment]
Your version of Excel allows you to read this threaded comment; however, any edits to it will get removed if the file is opened in a newer version of Excel. Learn more: https://go.microsoft.com/fwlink/?linkid=870924
Comment:
    Assumptions for calculation for BB ESDM
Based on IT industry for Beyond Bengaluru, For 2 Bn Revenue it is estimated to generate an employment of 1,31,579. On similar grounds, for 0.9 Bn of revenue for ESDM, we arrive at an employment of ~60,000)</t>
      </text>
    </comment>
    <comment ref="A38" authorId="43" shapeId="0" xr:uid="{2A834014-C70A-4E9B-AE28-2DBB6DDC397D}">
      <text>
        <t>[Threaded comment]
Your version of Excel allows you to read this threaded comment; however, any edits to it will get removed if the file is opened in a newer version of Excel. Learn more: https://go.microsoft.com/fwlink/?linkid=870924
Comment:
    https://news.abplive.com/business/india-needs-10-lakh-start-ups-to-generate-1-crore-employment-report-1532260                                 Assuming ~72600 startups in India employing about 20 people approximately*, we arrive at 15,52,000 employees – As per Invest India dated 27th June 2022 (We had discussed earlier for considering 10,00,000 employees for startups in India)</t>
      </text>
    </comment>
    <comment ref="B38" authorId="44" shapeId="0" xr:uid="{D95A2E47-1B42-4CC6-A97F-4DCA0CEAB67C}">
      <text>
        <t>[Threaded comment]
Your version of Excel allows you to read this threaded comment; however, any edits to it will get removed if the file is opened in a newer version of Excel. Learn more: https://go.microsoft.com/fwlink/?linkid=870924
Comment:
    https://www.business-standard.com/article/current-affairs/number-of-recognised-startups-in-india-rises-to-65-861-says-govt-122032500790_1.html https://www.investindia.gov.in/indian-unicorn-landscape*                   Based on assumption for calculation purpose (As per DPIIT sources online and discussion with Mr.Pai)</t>
      </text>
    </comment>
    <comment ref="I38" authorId="45" shapeId="0" xr:uid="{6C834F03-5BB1-4EB2-ABA1-35340CDAA481}">
      <text>
        <t>[Threaded comment]
Your version of Excel allows you to read this threaded comment; however, any edits to it will get removed if the file is opened in a newer version of Excel. Learn more: https://go.microsoft.com/fwlink/?linkid=870924
Comment:
    Assumptions for calculation for BB ESDM
Based on IT industry for Beyond Bengaluru, For 2 Bn Revenue it is estimated to generate an employment of 1,31,579. On similar grounds, for 0.9 Bn of revenue for Startups, we arrive at an employment of ~65,789). Additionally, based on Beyond Bengaluru Report, 15% of the employees have moved to the BB cities, assuming 15% of 600000, we arrive at 90,000, totalling it we arrive at 1,55,789, we have taken it at a round off at 100000</t>
      </text>
    </comment>
    <comment ref="C50" authorId="46" shapeId="0" xr:uid="{2FFE2005-6CE6-4CC8-A836-C25D5969F8E9}">
      <text>
        <t>[Threaded comment]
Your version of Excel allows you to read this threaded comment; however, any edits to it will get removed if the file is opened in a newer version of Excel. Learn more: https://go.microsoft.com/fwlink/?linkid=870924
Comment:
    Karnataka revenue share considered at 20% of India value</t>
      </text>
    </comment>
    <comment ref="E50" authorId="47" shapeId="0" xr:uid="{D41E203E-07E6-45D1-B36D-2336A54D3211}">
      <text>
        <t>[Threaded comment]
Your version of Excel allows you to read this threaded comment; however, any edits to it will get removed if the file is opened in a newer version of Excel. Learn more: https://go.microsoft.com/fwlink/?linkid=870924
Comment:
    Karnataka revenue share considered at 20% of India value and for employment it is considered at 15%</t>
      </text>
    </comment>
    <comment ref="F50" authorId="48" shapeId="0" xr:uid="{A9DA0767-074B-4CBC-8FEE-AECA5860BD8E}">
      <text>
        <t>[Threaded comment]
Your version of Excel allows you to read this threaded comment; however, any edits to it will get removed if the file is opened in a newer version of Excel. Learn more: https://go.microsoft.com/fwlink/?linkid=870924
Comment:
    Growth rate considered at 12%</t>
      </text>
    </comment>
    <comment ref="C51" authorId="49" shapeId="0" xr:uid="{FCF7CAEA-3A64-4AB8-8D97-D383B7135B0F}">
      <text>
        <t>[Threaded comment]
Your version of Excel allows you to read this threaded comment; however, any edits to it will get removed if the file is opened in a newer version of Excel. Learn more: https://go.microsoft.com/fwlink/?linkid=870924
Comment:
    Share of Beyond Bengaluru is taken at ~2% of Karnataka value (As per our calculation we get ~1.97%)</t>
      </text>
    </comment>
    <comment ref="E51" authorId="50" shapeId="0" xr:uid="{4B7766B7-D962-4404-A0BF-533169D8D566}">
      <text>
        <t>[Threaded comment]
Your version of Excel allows you to read this threaded comment; however, any edits to it will get removed if the file is opened in a newer version of Excel. Learn more: https://go.microsoft.com/fwlink/?linkid=870924
Comment:
    Growth for IT industry shown in Beyond Bengaluru workings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tc={53C0169E-57CA-4798-B7BE-8DBD8C2FEF75}</author>
    <author>tc={D17CB80A-C3E4-4144-8255-ED7C1C26DE5D}</author>
    <author>tc={F13272C4-8E20-4040-916E-0DCA22F8F9D9}</author>
    <author>tc={EE673DC7-BAFA-442F-B5D4-BAD214AECE6F}</author>
    <author>tc={B2F79D52-50A2-4073-8C73-0CE073A630CA}</author>
    <author>tc={1B4D9711-C578-47A9-8A14-6D3A61732274}</author>
    <author>tc={7ED83F78-74FD-4574-9E2B-8AC90B5D62BB}</author>
    <author>tc={E214704B-C93D-49C2-BD8E-2B93D1E179C2}</author>
    <author>tc={666C5A5B-9723-47BB-885B-4390D877D755}</author>
    <author>tc={C3613E00-407D-4F54-8E29-DBF7FEF2655C}</author>
    <author>tc={83D98846-0AA3-473B-9ABC-C064D93A4477}</author>
    <author>tc={36EAA3DE-0758-4BA6-8DC7-2C2AB640E59C}</author>
    <author>tc={9FF4B161-8646-464D-B2A6-7365F7A6E3F9}</author>
    <author>tc={C0A6DFFA-9BED-4331-888B-DEBAC2A33AFB}</author>
    <author>tc={24BC6C53-CC55-4851-B18A-00030D4D5AF7}</author>
    <author>tc={F3F7A708-FCE8-4B28-BB8B-4761D2B6C27E}</author>
    <author>tc={892AB0AA-2637-4CB1-9943-8FF4AB56A4E1}</author>
    <author>tc={7D1FD66D-920D-43EC-A1EE-2A855A0865FE}</author>
    <author>tc={0F7CC661-4740-42B5-892A-BAC0F8DE0A94}</author>
    <author>tc={BDADD268-0EB6-4A8D-A8BD-4EBF891ED278}</author>
    <author>tc={F215634B-596F-4950-9BA5-3829A33A6504}</author>
    <author>tc={A40FFA8D-5AFF-4678-B5C6-8A73A63B47B3}</author>
    <author>tc={336AAB61-A56A-4E4B-BD4F-768CF0691F2F}</author>
    <author>tc={446A0BB9-D4AF-4E67-A248-BC04AB79E885}</author>
    <author>tc={19ECA02C-7E1E-494F-B058-FAA4702A3FEA}</author>
    <author>tc={1967A8BD-D952-4A97-BDA9-BF37E3C9A1EB}</author>
    <author>tc={39575DB7-9C5C-4FD3-B84D-E6DA61D75584}</author>
    <author>tc={B401C0EC-4D19-4D24-A6C4-776F680EF80B}</author>
    <author>tc={01840E95-E2B9-4083-8796-4A3B89BED85C}</author>
    <author>tc={FB0A8F7D-1432-4B03-9F14-0823989034C2}</author>
    <author>tc={3FD96E5F-5C5F-4C23-8365-54873E362159}</author>
    <author>tc={1B4E37ED-14C1-424A-A062-800896A1A2CB}</author>
    <author>tc={D38EBFBB-AEA4-44BC-B0CA-1B77E94934FD}</author>
    <author>tc={FC1F1944-0492-4C49-A69C-CE6346147744}</author>
    <author>tc={51FAF03C-85A6-48A5-9B00-EB59DB7B6A7A}</author>
    <author>tc={DBB22668-4FA9-48F9-82AE-4426A256E17A}</author>
    <author>tc={2E03A863-B785-4E95-83B2-4902CF45B990}</author>
    <author>tc={69C7F022-777E-4814-AB01-9B2CF9ECA606}</author>
    <author>tc={E94AD591-4BF3-4403-973D-5AE7D885189C}</author>
    <author>tc={1AC38B21-B2CF-4FEE-A709-2C3F7197BDA8}</author>
    <author>tc={9609B329-2266-4284-ABB2-C8F4AC19769D}</author>
  </authors>
  <commentList>
    <comment ref="C9" authorId="0" shapeId="0" xr:uid="{53C0169E-57CA-4798-B7BE-8DBD8C2FEF75}">
      <text>
        <t>[Threaded comment]
Your version of Excel allows you to read this threaded comment; however, any edits to it will get removed if the file is opened in a newer version of Excel. Learn more: https://go.microsoft.com/fwlink/?linkid=870924
Comment:
    Assuming 12% increase over 2020-21 data for IT exports, we arrive at ~ $ 165 Bn                                                       Additionally as per Indian Express article dated March 6th 2022, Indian software exports in the current financial year are estimated to be worth $170 billion USD with Karnataka contributing an estimated 38 per cent</t>
      </text>
    </comment>
    <comment ref="D9" authorId="1" shapeId="0" xr:uid="{D17CB80A-C3E4-4144-8255-ED7C1C26DE5D}">
      <text>
        <t>[Threaded comment]
Your version of Excel allows you to read this threaded comment; however, any edits to it will get removed if the file is opened in a newer version of Excel. Learn more: https://go.microsoft.com/fwlink/?linkid=870924
Comment:
    As per Indian Express article, Indian software exports in the current financial year are estimated to be worth $170 billion USD with Karnataka contributing an estimated 38 per cent</t>
      </text>
    </comment>
    <comment ref="E9" authorId="2" shapeId="0" xr:uid="{F13272C4-8E20-4040-916E-0DCA22F8F9D9}">
      <text>
        <t>[Threaded comment]
Your version of Excel allows you to read this threaded comment; however, any edits to it will get removed if the file is opened in a newer version of Excel. Learn more: https://go.microsoft.com/fwlink/?linkid=870924
Comment:
    For Beyond Bengaluru, IT Exports and IT Domestic are considered as one calculation</t>
      </text>
    </comment>
    <comment ref="F9" authorId="3" shapeId="0" xr:uid="{EE673DC7-BAFA-442F-B5D4-BAD214AECE6F}">
      <text>
        <t>[Threaded comment]
Your version of Excel allows you to read this threaded comment; however, any edits to it will get removed if the file is opened in a newer version of Excel. Learn more: https://go.microsoft.com/fwlink/?linkid=870924
Comment:
    Assuming 12% increase over 2020-21 data for IT exports, we arrive at ~ $ 165 Bn                                                       Additionally as per Indian Express article dated March 6th 2022, Indian software exports in the current financial year are estimated to be worth $170 billion USD with Karnataka contributing an estimated 38 per cent</t>
      </text>
    </comment>
    <comment ref="G9" authorId="4" shapeId="0" xr:uid="{B2F79D52-50A2-4073-8C73-0CE073A630CA}">
      <text>
        <t>[Threaded comment]
Your version of Excel allows you to read this threaded comment; however, any edits to it will get removed if the file is opened in a newer version of Excel. Learn more: https://go.microsoft.com/fwlink/?linkid=870924
Comment:
    As per Indian Express article, Indian software exports in the current financial year are estimated to be worth $170 billion USD with Karnataka contributing an estimated 38 per cent</t>
      </text>
    </comment>
    <comment ref="I9" authorId="5" shapeId="0" xr:uid="{1B4D9711-C578-47A9-8A14-6D3A61732274}">
      <text>
        <t>[Threaded comment]
Your version of Excel allows you to read this threaded comment; however, any edits to it will get removed if the file is opened in a newer version of Excel. Learn more: https://go.microsoft.com/fwlink/?linkid=870924
Comment:
    Assuming 12% increase over 2020-21 data for IT exports, we arrive at ~ $ 165 Bn                                                       Additionally as per Indian Express article dated March 6th 2022, Indian software exports in the current financial year are estimated to be worth $170 billion USD with Karnataka contributing an estimated 38 per cent</t>
      </text>
    </comment>
    <comment ref="J9" authorId="6" shapeId="0" xr:uid="{7ED83F78-74FD-4574-9E2B-8AC90B5D62BB}">
      <text>
        <t>[Threaded comment]
Your version of Excel allows you to read this threaded comment; however, any edits to it will get removed if the file is opened in a newer version of Excel. Learn more: https://go.microsoft.com/fwlink/?linkid=870924
Comment:
    As per Indian Express article, Indian software exports in the current financial year are estimated to be worth $170 billion USD with Karnataka contributing an estimated 38 per cent</t>
      </text>
    </comment>
    <comment ref="L9" authorId="7" shapeId="0" xr:uid="{E214704B-C93D-49C2-BD8E-2B93D1E179C2}">
      <text>
        <t>[Threaded comment]
Your version of Excel allows you to read this threaded comment; however, any edits to it will get removed if the file is opened in a newer version of Excel. Learn more: https://go.microsoft.com/fwlink/?linkid=870924
Comment:
    Assuming 12% increase over 2020-21 data for IT exports, we arrive at ~ $ 165 Bn                                                       Additionally as per Indian Express article dated March 6th 2022, Indian software exports in the current financial year are estimated to be worth $170 billion USD with Karnataka contributing an estimated 38 per cent</t>
      </text>
    </comment>
    <comment ref="M9" authorId="8" shapeId="0" xr:uid="{666C5A5B-9723-47BB-885B-4390D877D755}">
      <text>
        <t>[Threaded comment]
Your version of Excel allows you to read this threaded comment; however, any edits to it will get removed if the file is opened in a newer version of Excel. Learn more: https://go.microsoft.com/fwlink/?linkid=870924
Comment:
    As per Indian Express article, Indian software exports in the current financial year are estimated to be worth $170 billion USD with Karnataka contributing an estimated 38 per cent</t>
      </text>
    </comment>
    <comment ref="O9" authorId="9" shapeId="0" xr:uid="{C3613E00-407D-4F54-8E29-DBF7FEF2655C}">
      <text>
        <t>[Threaded comment]
Your version of Excel allows you to read this threaded comment; however, any edits to it will get removed if the file is opened in a newer version of Excel. Learn more: https://go.microsoft.com/fwlink/?linkid=870924
Comment:
    Assuming 12% increase over 2020-21 data for IT exports, we arrive at ~ $ 165 Bn                                                       Additionally as per Indian Express article dated March 6th 2022, Indian software exports in the current financial year are estimated to be worth $170 billion USD with Karnataka contributing an estimated 38 per cent</t>
      </text>
    </comment>
    <comment ref="P9" authorId="10" shapeId="0" xr:uid="{83D98846-0AA3-473B-9ABC-C064D93A4477}">
      <text>
        <t>[Threaded comment]
Your version of Excel allows you to read this threaded comment; however, any edits to it will get removed if the file is opened in a newer version of Excel. Learn more: https://go.microsoft.com/fwlink/?linkid=870924
Comment:
    As per Indian Express article, Indian software exports in the current financial year are estimated to be worth $170 billion USD with Karnataka contributing an estimated 38 per cent</t>
      </text>
    </comment>
    <comment ref="R9" authorId="11" shapeId="0" xr:uid="{36EAA3DE-0758-4BA6-8DC7-2C2AB640E59C}">
      <text>
        <t>[Threaded comment]
Your version of Excel allows you to read this threaded comment; however, any edits to it will get removed if the file is opened in a newer version of Excel. Learn more: https://go.microsoft.com/fwlink/?linkid=870924
Comment:
    Assuming 12% increase over 2020-21 data for IT exports, we arrive at ~ $ 165 Bn                                                       Additionally as per Indian Express article dated March 6th 2022, Indian software exports in the current financial year are estimated to be worth $170 billion USD with Karnataka contributing an estimated 38 per cent</t>
      </text>
    </comment>
    <comment ref="S9" authorId="12" shapeId="0" xr:uid="{9FF4B161-8646-464D-B2A6-7365F7A6E3F9}">
      <text>
        <t>[Threaded comment]
Your version of Excel allows you to read this threaded comment; however, any edits to it will get removed if the file is opened in a newer version of Excel. Learn more: https://go.microsoft.com/fwlink/?linkid=870924
Comment:
    As per Indian Express article, Indian software exports in the current financial year are estimated to be worth $170 billion USD with Karnataka contributing an estimated 38 per cent</t>
      </text>
    </comment>
    <comment ref="U9" authorId="13" shapeId="0" xr:uid="{C0A6DFFA-9BED-4331-888B-DEBAC2A33AFB}">
      <text>
        <t>[Threaded comment]
Your version of Excel allows you to read this threaded comment; however, any edits to it will get removed if the file is opened in a newer version of Excel. Learn more: https://go.microsoft.com/fwlink/?linkid=870924
Comment:
    Assuming 12% increase over 2020-21 data for IT exports, we arrive at ~ $ 165 Bn                                                       Additionally as per Indian Express article dated March 6th 2022, Indian software exports in the current financial year are estimated to be worth $170 billion USD with Karnataka contributing an estimated 38 per cent</t>
      </text>
    </comment>
    <comment ref="V9" authorId="14" shapeId="0" xr:uid="{24BC6C53-CC55-4851-B18A-00030D4D5AF7}">
      <text>
        <t>[Threaded comment]
Your version of Excel allows you to read this threaded comment; however, any edits to it will get removed if the file is opened in a newer version of Excel. Learn more: https://go.microsoft.com/fwlink/?linkid=870924
Comment:
    As per Indian Express article, Indian software exports in the current financial year are estimated to be worth $170 billion USD with Karnataka contributing an estimated 38 per cent</t>
      </text>
    </comment>
    <comment ref="X9" authorId="15" shapeId="0" xr:uid="{F3F7A708-FCE8-4B28-BB8B-4761D2B6C27E}">
      <text>
        <t>[Threaded comment]
Your version of Excel allows you to read this threaded comment; however, any edits to it will get removed if the file is opened in a newer version of Excel. Learn more: https://go.microsoft.com/fwlink/?linkid=870924
Comment:
    Assuming 12% increase over 2020-21 data for IT exports, we arrive at ~ $ 165 Bn                                                       Additionally as per Indian Express article dated March 6th 2022, Indian software exports in the current financial year are estimated to be worth $170 billion USD with Karnataka contributing an estimated 38 per cent</t>
      </text>
    </comment>
    <comment ref="Y9" authorId="16" shapeId="0" xr:uid="{892AB0AA-2637-4CB1-9943-8FF4AB56A4E1}">
      <text>
        <t>[Threaded comment]
Your version of Excel allows you to read this threaded comment; however, any edits to it will get removed if the file is opened in a newer version of Excel. Learn more: https://go.microsoft.com/fwlink/?linkid=870924
Comment:
    As per Indian Express article, Indian software exports in the current financial year are estimated to be worth $170 billion USD with Karnataka contributing an estimated 38 per cent</t>
      </text>
    </comment>
    <comment ref="AA9" authorId="17" shapeId="0" xr:uid="{7D1FD66D-920D-43EC-A1EE-2A855A0865FE}">
      <text>
        <t>[Threaded comment]
Your version of Excel allows you to read this threaded comment; however, any edits to it will get removed if the file is opened in a newer version of Excel. Learn more: https://go.microsoft.com/fwlink/?linkid=870924
Comment:
    Assuming 12% increase over 2020-21 data for IT exports, we arrive at ~ $ 165 Bn                                                       Additionally as per Indian Express article dated March 6th 2022, Indian software exports in the current financial year are estimated to be worth $170 billion USD with Karnataka contributing an estimated 38 per cent</t>
      </text>
    </comment>
    <comment ref="AB9" authorId="18" shapeId="0" xr:uid="{0F7CC661-4740-42B5-892A-BAC0F8DE0A94}">
      <text>
        <t>[Threaded comment]
Your version of Excel allows you to read this threaded comment; however, any edits to it will get removed if the file is opened in a newer version of Excel. Learn more: https://go.microsoft.com/fwlink/?linkid=870924
Comment:
    As per Indian Express article, Indian software exports in the current financial year are estimated to be worth $170 billion USD with Karnataka contributing an estimated 38 per cent</t>
      </text>
    </comment>
    <comment ref="AD9" authorId="19" shapeId="0" xr:uid="{BDADD268-0EB6-4A8D-A8BD-4EBF891ED278}">
      <text>
        <t>[Threaded comment]
Your version of Excel allows you to read this threaded comment; however, any edits to it will get removed if the file is opened in a newer version of Excel. Learn more: https://go.microsoft.com/fwlink/?linkid=870924
Comment:
    Assuming 12% increase over 2020-21 data for IT exports, we arrive at ~ $ 165 Bn                                                       Additionally as per Indian Express article dated March 6th 2022, Indian software exports in the current financial year are estimated to be worth $170 billion USD with Karnataka contributing an estimated 38 per cent</t>
      </text>
    </comment>
    <comment ref="AE9" authorId="20" shapeId="0" xr:uid="{F215634B-596F-4950-9BA5-3829A33A6504}">
      <text>
        <t>[Threaded comment]
Your version of Excel allows you to read this threaded comment; however, any edits to it will get removed if the file is opened in a newer version of Excel. Learn more: https://go.microsoft.com/fwlink/?linkid=870924
Comment:
    As per Indian Express article, Indian software exports in the current financial year are estimated to be worth $170 billion USD with Karnataka contributing an estimated 38 per cent</t>
      </text>
    </comment>
    <comment ref="B11" authorId="21" shapeId="0" xr:uid="{A40FFA8D-5AFF-4678-B5C6-8A73A63B47B3}">
      <text>
        <t>[Threaded comment]
Your version of Excel allows you to read this threaded comment; however, any edits to it will get removed if the file is opened in a newer version of Excel. Learn more: https://go.microsoft.com/fwlink/?linkid=870924
Comment:
    To refer Tab "ESDM Sector" for breakup</t>
      </text>
    </comment>
    <comment ref="C11" authorId="22" shapeId="0" xr:uid="{336AAB61-A56A-4E4B-BD4F-768CF0691F2F}">
      <text>
        <t>[Threaded comment]
Your version of Excel allows you to read this threaded comment; however, any edits to it will get removed if the file is opened in a newer version of Excel. Learn more: https://go.microsoft.com/fwlink/?linkid=870924
Comment:
    As per ICEA estimates</t>
      </text>
    </comment>
    <comment ref="F11" authorId="23" shapeId="0" xr:uid="{446A0BB9-D4AF-4E67-A248-BC04AB79E885}">
      <text>
        <t>[Threaded comment]
Your version of Excel allows you to read this threaded comment; however, any edits to it will get removed if the file is opened in a newer version of Excel. Learn more: https://go.microsoft.com/fwlink/?linkid=870924
Comment:
    As per ICEA estimates</t>
      </text>
    </comment>
    <comment ref="I11" authorId="24" shapeId="0" xr:uid="{19ECA02C-7E1E-494F-B058-FAA4702A3FEA}">
      <text>
        <t>[Threaded comment]
Your version of Excel allows you to read this threaded comment; however, any edits to it will get removed if the file is opened in a newer version of Excel. Learn more: https://go.microsoft.com/fwlink/?linkid=870924
Comment:
    As per ICEA estimates</t>
      </text>
    </comment>
    <comment ref="L11" authorId="25" shapeId="0" xr:uid="{1967A8BD-D952-4A97-BDA9-BF37E3C9A1EB}">
      <text>
        <t>[Threaded comment]
Your version of Excel allows you to read this threaded comment; however, any edits to it will get removed if the file is opened in a newer version of Excel. Learn more: https://go.microsoft.com/fwlink/?linkid=870924
Comment:
    As per ICEA estimates</t>
      </text>
    </comment>
    <comment ref="O11" authorId="26" shapeId="0" xr:uid="{39575DB7-9C5C-4FD3-B84D-E6DA61D75584}">
      <text>
        <t>[Threaded comment]
Your version of Excel allows you to read this threaded comment; however, any edits to it will get removed if the file is opened in a newer version of Excel. Learn more: https://go.microsoft.com/fwlink/?linkid=870924
Comment:
    As per ICEA estimates</t>
      </text>
    </comment>
    <comment ref="R11" authorId="27" shapeId="0" xr:uid="{B401C0EC-4D19-4D24-A6C4-776F680EF80B}">
      <text>
        <t>[Threaded comment]
Your version of Excel allows you to read this threaded comment; however, any edits to it will get removed if the file is opened in a newer version of Excel. Learn more: https://go.microsoft.com/fwlink/?linkid=870924
Comment:
    As per ICEA estimates</t>
      </text>
    </comment>
    <comment ref="U11" authorId="28" shapeId="0" xr:uid="{01840E95-E2B9-4083-8796-4A3B89BED85C}">
      <text>
        <t>[Threaded comment]
Your version of Excel allows you to read this threaded comment; however, any edits to it will get removed if the file is opened in a newer version of Excel. Learn more: https://go.microsoft.com/fwlink/?linkid=870924
Comment:
    As per ICEA estimates</t>
      </text>
    </comment>
    <comment ref="X11" authorId="29" shapeId="0" xr:uid="{FB0A8F7D-1432-4B03-9F14-0823989034C2}">
      <text>
        <t>[Threaded comment]
Your version of Excel allows you to read this threaded comment; however, any edits to it will get removed if the file is opened in a newer version of Excel. Learn more: https://go.microsoft.com/fwlink/?linkid=870924
Comment:
    As per ICEA estimates</t>
      </text>
    </comment>
    <comment ref="AA11" authorId="30" shapeId="0" xr:uid="{3FD96E5F-5C5F-4C23-8365-54873E362159}">
      <text>
        <t>[Threaded comment]
Your version of Excel allows you to read this threaded comment; however, any edits to it will get removed if the file is opened in a newer version of Excel. Learn more: https://go.microsoft.com/fwlink/?linkid=870924
Comment:
    As per ICEA estimates</t>
      </text>
    </comment>
    <comment ref="AD11" authorId="31" shapeId="0" xr:uid="{1B4E37ED-14C1-424A-A062-800896A1A2CB}">
      <text>
        <t>[Threaded comment]
Your version of Excel allows you to read this threaded comment; however, any edits to it will get removed if the file is opened in a newer version of Excel. Learn more: https://go.microsoft.com/fwlink/?linkid=870924
Comment:
    As per ICEA estimates</t>
      </text>
    </comment>
    <comment ref="C19" authorId="32" shapeId="0" xr:uid="{D38EBFBB-AEA4-44BC-B0CA-1B77E94934FD}">
      <text>
        <t>[Threaded comment]
Your version of Excel allows you to read this threaded comment; however, any edits to it will get removed if the file is opened in a newer version of Excel. Learn more: https://go.microsoft.com/fwlink/?linkid=870924
Comment:
    https://www.meity.gov.in/content/employment</t>
      </text>
    </comment>
    <comment ref="B21" authorId="33" shapeId="0" xr:uid="{FC1F1944-0492-4C49-A69C-CE6346147744}">
      <text>
        <t>[Threaded comment]
Your version of Excel allows you to read this threaded comment; however, any edits to it will get removed if the file is opened in a newer version of Excel. Learn more: https://go.microsoft.com/fwlink/?linkid=870924
Comment:
    To refer Tab "ESDM Sector" for breakup</t>
      </text>
    </comment>
    <comment ref="L21" authorId="34" shapeId="0" xr:uid="{51FAF03C-85A6-48A5-9B00-EB59DB7B6A7A}">
      <text>
        <t>[Threaded comment]
Your version of Excel allows you to read this threaded comment; however, any edits to it will get removed if the file is opened in a newer version of Excel. Learn more: https://go.microsoft.com/fwlink/?linkid=870924
Comment:
    As per ICEA estimates</t>
      </text>
    </comment>
    <comment ref="O21" authorId="35" shapeId="0" xr:uid="{DBB22668-4FA9-48F9-82AE-4426A256E17A}">
      <text>
        <t>[Threaded comment]
Your version of Excel allows you to read this threaded comment; however, any edits to it will get removed if the file is opened in a newer version of Excel. Learn more: https://go.microsoft.com/fwlink/?linkid=870924
Comment:
    As per ICEA estimates</t>
      </text>
    </comment>
    <comment ref="R21" authorId="36" shapeId="0" xr:uid="{2E03A863-B785-4E95-83B2-4902CF45B990}">
      <text>
        <t>[Threaded comment]
Your version of Excel allows you to read this threaded comment; however, any edits to it will get removed if the file is opened in a newer version of Excel. Learn more: https://go.microsoft.com/fwlink/?linkid=870924
Comment:
    As per ICEA estimates</t>
      </text>
    </comment>
    <comment ref="U21" authorId="37" shapeId="0" xr:uid="{69C7F022-777E-4814-AB01-9B2CF9ECA606}">
      <text>
        <t>[Threaded comment]
Your version of Excel allows you to read this threaded comment; however, any edits to it will get removed if the file is opened in a newer version of Excel. Learn more: https://go.microsoft.com/fwlink/?linkid=870924
Comment:
    As per ICEA estimates</t>
      </text>
    </comment>
    <comment ref="X21" authorId="38" shapeId="0" xr:uid="{E94AD591-4BF3-4403-973D-5AE7D885189C}">
      <text>
        <t>[Threaded comment]
Your version of Excel allows you to read this threaded comment; however, any edits to it will get removed if the file is opened in a newer version of Excel. Learn more: https://go.microsoft.com/fwlink/?linkid=870924
Comment:
    As per ICEA estimates</t>
      </text>
    </comment>
    <comment ref="AA21" authorId="39" shapeId="0" xr:uid="{1AC38B21-B2CF-4FEE-A709-2C3F7197BDA8}">
      <text>
        <t>[Threaded comment]
Your version of Excel allows you to read this threaded comment; however, any edits to it will get removed if the file is opened in a newer version of Excel. Learn more: https://go.microsoft.com/fwlink/?linkid=870924
Comment:
    As per ICEA estimates</t>
      </text>
    </comment>
    <comment ref="AD21" authorId="40" shapeId="0" xr:uid="{9609B329-2266-4284-ABB2-C8F4AC19769D}">
      <text>
        <t>[Threaded comment]
Your version of Excel allows you to read this threaded comment; however, any edits to it will get removed if the file is opened in a newer version of Excel. Learn more: https://go.microsoft.com/fwlink/?linkid=870924
Comment:
    As per ICEA estimates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tc={48D83552-59C2-4692-AA32-2D5756DD9414}</author>
    <author>tc={461B544B-017A-4460-BC62-BFEB11C0BE8C}</author>
    <author>tc={FF010938-157E-49C2-BC91-471342F8568A}</author>
    <author>tc={A59960DB-979D-480C-9437-AFFD56EDB23A}</author>
    <author>tc={E30D99F7-89DD-411F-BF23-B70C609E1DC0}</author>
    <author>tc={9D6C0DBF-56CD-493D-930A-740151025D46}</author>
    <author>tc={4619A708-683F-438B-BFC4-76B950E78C57}</author>
  </authors>
  <commentList>
    <comment ref="C9" authorId="0" shapeId="0" xr:uid="{48D83552-59C2-4692-AA32-2D5756DD9414}">
      <text>
        <t>[Threaded comment]
Your version of Excel allows you to read this threaded comment; however, any edits to it will get removed if the file is opened in a newer version of Excel. Learn more: https://go.microsoft.com/fwlink/?linkid=870924
Comment:
    Based on Beyond Bengaluru Report 2020 estimations</t>
      </text>
    </comment>
    <comment ref="D9" authorId="1" shapeId="0" xr:uid="{461B544B-017A-4460-BC62-BFEB11C0BE8C}">
      <text>
        <t>[Threaded comment]
Your version of Excel allows you to read this threaded comment; however, any edits to it will get removed if the file is opened in a newer version of Excel. Learn more: https://go.microsoft.com/fwlink/?linkid=870924
Comment:
    Assumed growth at 25% of CAGR</t>
      </text>
    </comment>
    <comment ref="H9" authorId="2" shapeId="0" xr:uid="{FF010938-157E-49C2-BC91-471342F8568A}">
      <text>
        <t>[Threaded comment]
Your version of Excel allows you to read this threaded comment; however, any edits to it will get removed if the file is opened in a newer version of Excel. Learn more: https://go.microsoft.com/fwlink/?linkid=870924
Comment:
    As per Beyond Bengaluru Report estimation</t>
      </text>
    </comment>
    <comment ref="I9" authorId="3" shapeId="0" xr:uid="{A59960DB-979D-480C-9437-AFFD56EDB23A}">
      <text>
        <t>[Threaded comment]
Your version of Excel allows you to read this threaded comment; however, any edits to it will get removed if the file is opened in a newer version of Excel. Learn more: https://go.microsoft.com/fwlink/?linkid=870924
Comment:
    Assumed growth at 18.2% of CAGR</t>
      </text>
    </comment>
    <comment ref="L9" authorId="4" shapeId="0" xr:uid="{E30D99F7-89DD-411F-BF23-B70C609E1DC0}">
      <text>
        <t>[Threaded comment]
Your version of Excel allows you to read this threaded comment; however, any edits to it will get removed if the file is opened in a newer version of Excel. Learn more: https://go.microsoft.com/fwlink/?linkid=870924
Comment:
    As per Beyond Bengaluru Report estimation</t>
      </text>
    </comment>
    <comment ref="C20" authorId="5" shapeId="0" xr:uid="{9D6C0DBF-56CD-493D-930A-740151025D46}">
      <text>
        <t>[Threaded comment]
Your version of Excel allows you to read this threaded comment; however, any edits to it will get removed if the file is opened in a newer version of Excel. Learn more: https://go.microsoft.com/fwlink/?linkid=870924
Comment:
    Based on Beyond Bengaluru Report 2020 estimations</t>
      </text>
    </comment>
    <comment ref="D21" authorId="6" shapeId="0" xr:uid="{4619A708-683F-438B-BFC4-76B950E78C57}">
      <text>
        <t>[Threaded comment]
Your version of Excel allows you to read this threaded comment; however, any edits to it will get removed if the file is opened in a newer version of Excel. Learn more: https://go.microsoft.com/fwlink/?linkid=870924
Comment:
    Assumptions for calculation:
Based on IT industry for Beyond Bengaluru, For 2 Bn Revenue it is estimated to generate an employment of 1,31,579. On similar grounds, for 0.9 Bn of revenue for ESDM, we arrive at an employment of ~60,000) at around 42% of Karnataka employment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tc={E42DBBC6-C8C8-4303-B7EB-3E00719B81F3}</author>
    <author>tc={61170A73-4F70-4773-8403-41773BCEB166}</author>
  </authors>
  <commentList>
    <comment ref="D10" authorId="0" shapeId="0" xr:uid="{E42DBBC6-C8C8-4303-B7EB-3E00719B81F3}">
      <text>
        <t>[Threaded comment]
Your version of Excel allows you to read this threaded comment; however, any edits to it will get removed if the file is opened in a newer version of Excel. Learn more: https://go.microsoft.com/fwlink/?linkid=870924
Comment:
    Reference as per the number estimated by economic survey 2022 published by economic times - 14000, As per Business Standard article, it is estimated at 13000 startups - https://www.business-standard.com/article/current-affairs/karnataka-will-play-major-role-in-making-india-5-trn-economy-cm-122011700070_1.html</t>
      </text>
    </comment>
    <comment ref="E10" authorId="1" shapeId="0" xr:uid="{61170A73-4F70-4773-8403-41773BCEB166}">
      <text>
        <t>[Threaded comment]
Your version of Excel allows you to read this threaded comment; however, any edits to it will get removed if the file is opened in a newer version of Excel. Learn more: https://go.microsoft.com/fwlink/?linkid=870924
Comment:
    Assumed at CAGR of 13.97% to reach to 25000 startups by the year 2025 as advised by Mr. Pai</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tc={7C9EB5F9-8680-45BC-AEB8-3D17B5C96146}</author>
    <author>tc={FFE5DBE1-D167-42B0-AA0A-82E6901F6F42}</author>
    <author>tc={6D1C4979-E364-41BB-9478-775EBC62AF24}</author>
    <author>tc={E4A20B46-27C2-49DD-8B2F-3EEEE7E1A30D}</author>
    <author>tc={008A898E-D889-4C5E-8703-E038D0A6D9B4}</author>
    <author>tc={0EB6F4AC-9198-4CE0-BDFF-00717891EC28}</author>
    <author>tc={76AB8F08-DE6B-4CAC-A33F-45E91697520D}</author>
    <author>tc={AC7BE910-4E52-4809-95E5-44F03E415723}</author>
    <author>tc={6E2CD97C-E212-47C8-ABAB-2D2AFB9AF2BB}</author>
    <author>tc={39C1347B-2129-4DC8-80F8-50C6E7D55328}</author>
    <author>tc={59D80021-B9CD-4F2B-B239-E33F095721FD}</author>
    <author>tc={2C8E9287-7DA1-4B6C-8D35-3710C90F4354}</author>
    <author>tc={E73021FA-67A8-4717-A9F1-969E3CF099AC}</author>
    <author>tc={958B7EA9-9D75-4888-ABE0-54EAB1B7DCC3}</author>
    <author>tc={DEC58BB6-BB36-48AF-B56C-D31B6EC1A9E7}</author>
    <author>tc={87C2C3DC-DE0A-452B-8407-844C6FC2F4EC}</author>
    <author>tc={83F80157-A737-438F-B786-B91C992CD854}</author>
    <author>tc={46487F2E-4474-4623-BCB7-691884E685F0}</author>
    <author>tc={D720BD7C-8E12-4F49-B4E3-FD18E03F794A}</author>
    <author>tc={FD12EB49-59F8-4FC7-9852-4EC56716A577}</author>
    <author>tc={234890A6-A915-4431-A85D-7053C9F983CD}</author>
    <author>tc={8294A234-8AF2-4A40-9A24-E6A1A14B8384}</author>
    <author>tc={62F5CA08-A7EB-45AD-811F-01D411349962}</author>
    <author>tc={FAE71165-AA83-4F89-BB6D-1957D43336D0}</author>
    <author>tc={8063BB66-C488-4186-9EA4-6F69610906C8}</author>
    <author>tc={EFB793D5-CAB0-4948-B38A-BDAF3F4126CE}</author>
    <author>tc={743CA301-BCBD-47C4-A283-6EAE25DBC66A}</author>
    <author>tc={C5941452-8295-481E-AC4D-E3839FB11814}</author>
    <author>tc={C917B0B8-F1BD-4FAA-8F27-A972F98003FC}</author>
    <author>tc={F53218C4-5A09-4C9A-9652-F824FA7F60BE}</author>
    <author>tc={4462713D-8E80-444A-8069-2E95B9B1EF81}</author>
    <author>tc={8FE5E628-2F06-4396-A68E-C09626B901CE}</author>
    <author>tc={B8DC9D6F-821A-48D6-87E2-6560DC470401}</author>
    <author>tc={C1EC5886-4FE3-4763-871B-2EE73AF8B0EC}</author>
    <author>tc={2A62E95A-FD80-4DB5-A5E4-3EC4AF53786A}</author>
    <author>tc={BD78FA93-78F7-4FE0-8EF8-1974B8F6F0DC}</author>
    <author>tc={06543DEA-7B04-484E-947E-1258E06F1B41}</author>
    <author>tc={A9752DBA-D7F7-45F2-AFE9-055E8DB1A4BF}</author>
    <author>tc={89305DDB-05C8-435C-A759-2779C9ABC78F}</author>
    <author>tc={511D5155-56A7-4987-8D17-E04F77030D98}</author>
    <author>tc={96A34837-1031-4F19-9DB1-073855C80535}</author>
    <author>tc={815211C6-54DC-400D-990F-27FA56BBBE56}</author>
    <author>tc={3919250C-1E8F-480D-8E96-29017AA5D53A}</author>
    <author>tc={864C82F3-61C6-4BF2-B9DD-F86535FB7974}</author>
    <author>tc={A4FBD167-283A-4E8F-B007-4B8C68637C64}</author>
    <author>tc={F8E65DBC-1860-4A11-98AA-13FF65D0AED4}</author>
    <author>tc={578396CB-6ACA-421D-BDCB-6BE086135405}</author>
    <author>tc={4267ED44-EC34-43DD-83DD-FD61AA7C2CF9}</author>
    <author>tc={0B2E4D41-D6E4-42C5-AEB5-32E859648EEE}</author>
    <author>tc={9B8308A2-A6E2-4FB4-9B69-6683A8EAD2DA}</author>
    <author>tc={FCEB0AFB-C1EA-41D4-876A-EE120589F776}</author>
    <author>tc={63B48B85-DECA-445B-A216-B6498892DCD5}</author>
    <author>tc={3D22F1CD-FA64-4AF9-93B2-CC05EAE0C0F7}</author>
    <author>tc={3496266B-66D6-4D46-B3A1-DE3E93B40C4B}</author>
    <author>tc={AC4E6D96-49C7-40C2-8FBC-43E8D6C52599}</author>
    <author>tc={D697C2C9-0DEE-4B28-B1B5-23D12CFEC7D5}</author>
    <author>tc={29BD089F-C2B0-41A4-B518-8E89DBC4AC63}</author>
    <author>tc={BFE5CBE2-CFB2-44CD-B212-2FC5FAE8F517}</author>
    <author>tc={A82D5434-32A3-49F4-BC80-2284BE0DBE8B}</author>
    <author>tc={21567EE2-4E56-43E4-8B34-006383E575FD}</author>
    <author>tc={268F7A32-0FFB-4F5B-B5A2-C1D0C2341ABE}</author>
    <author>tc={635924CC-AF56-40A7-BC60-F0BA3B68AFD7}</author>
    <author>tc={9794C047-B6AC-417E-BE77-9895E954774C}</author>
  </authors>
  <commentList>
    <comment ref="B6" authorId="0" shapeId="0" xr:uid="{7C9EB5F9-8680-45BC-AEB8-3D17B5C96146}">
      <text>
        <t>[Threaded comment]
Your version of Excel allows you to read this threaded comment; however, any edits to it will get removed if the file is opened in a newer version of Excel. Learn more: https://go.microsoft.com/fwlink/?linkid=870924
Comment:
    As per ICEA estimates and the revenue estimation is done based on anticipation of investment planned of Rs. 5000 Crores</t>
      </text>
    </comment>
    <comment ref="D6" authorId="1" shapeId="0" xr:uid="{FFE5DBE1-D167-42B0-AA0A-82E6901F6F42}">
      <text>
        <t>[Threaded comment]
Your version of Excel allows you to read this threaded comment; however, any edits to it will get removed if the file is opened in a newer version of Excel. Learn more: https://go.microsoft.com/fwlink/?linkid=870924
Comment:
    As per ICEA estimates (Have excluded consumer electronics)</t>
      </text>
    </comment>
    <comment ref="B7" authorId="2" shapeId="0" xr:uid="{6D1C4979-E364-41BB-9478-775EBC62AF24}">
      <text>
        <t>[Threaded comment]
Your version of Excel allows you to read this threaded comment; however, any edits to it will get removed if the file is opened in a newer version of Excel. Learn more: https://go.microsoft.com/fwlink/?linkid=870924
Comment:
    Based on CEAMA Report</t>
      </text>
    </comment>
    <comment ref="C7" authorId="3" shapeId="0" xr:uid="{E4A20B46-27C2-49DD-8B2F-3EEEE7E1A30D}">
      <text>
        <t>[Threaded comment]
Your version of Excel allows you to read this threaded comment; however, any edits to it will get removed if the file is opened in a newer version of Excel. Learn more: https://go.microsoft.com/fwlink/?linkid=870924
Comment:
    As per ICEA estimates, they have considered consumer electronics to include TV, Audio and accessories) - We have considered as per CEAMA data for consumer electronics)</t>
      </text>
    </comment>
    <comment ref="N7" authorId="4" shapeId="0" xr:uid="{008A898E-D889-4C5E-8703-E038D0A6D9B4}">
      <text>
        <t>[Threaded comment]
Your version of Excel allows you to read this threaded comment; however, any edits to it will get removed if the file is opened in a newer version of Excel. Learn more: https://go.microsoft.com/fwlink/?linkid=870924
Comment:
    Number based on ICEA projections excluding consumer electronics</t>
      </text>
    </comment>
    <comment ref="O7" authorId="5" shapeId="0" xr:uid="{0EB6F4AC-9198-4CE0-BDFF-00717891EC28}">
      <text>
        <t>[Threaded comment]
Your version of Excel allows you to read this threaded comment; however, any edits to it will get removed if the file is opened in a newer version of Excel. Learn more: https://go.microsoft.com/fwlink/?linkid=870924
Comment:
    Value at 20% of India figure or CAGR at 15%, whichever is higher is considered, in our case 20% of India share is considered as it is higher of the two (We have fixed numberfs for 5 years as per ICEA statistics till the year 2025, post which we have assumed CAGR at 12% post the year 2025)</t>
      </text>
    </comment>
    <comment ref="Q7" authorId="6" shapeId="0" xr:uid="{76AB8F08-DE6B-4CAC-A33F-45E91697520D}">
      <text>
        <t>[Threaded comment]
Your version of Excel allows you to read this threaded comment; however, any edits to it will get removed if the file is opened in a newer version of Excel. Learn more: https://go.microsoft.com/fwlink/?linkid=870924
Comment:
    Number based on ICEA projections excluding consumer electronics</t>
      </text>
    </comment>
    <comment ref="R7" authorId="7" shapeId="0" xr:uid="{AC7BE910-4E52-4809-95E5-44F03E415723}">
      <text>
        <t>[Threaded comment]
Your version of Excel allows you to read this threaded comment; however, any edits to it will get removed if the file is opened in a newer version of Excel. Learn more: https://go.microsoft.com/fwlink/?linkid=870924
Comment:
    Value at 20% of India figure or CAGR at 15%, whichever is higher is considered, in our case 20% of India share is considered as it is higher of the two (We have fixed numberfs for 5 years as per ICEA statistics till the year 2025, post which we have assumed CAGR at 12% post the year 2025)</t>
      </text>
    </comment>
    <comment ref="T7" authorId="8" shapeId="0" xr:uid="{6E2CD97C-E212-47C8-ABAB-2D2AFB9AF2BB}">
      <text>
        <t>[Threaded comment]
Your version of Excel allows you to read this threaded comment; however, any edits to it will get removed if the file is opened in a newer version of Excel. Learn more: https://go.microsoft.com/fwlink/?linkid=870924
Comment:
    Number based on ICEA projections excluding consumer electronics</t>
      </text>
    </comment>
    <comment ref="U7" authorId="9" shapeId="0" xr:uid="{39C1347B-2129-4DC8-80F8-50C6E7D55328}">
      <text>
        <t>[Threaded comment]
Your version of Excel allows you to read this threaded comment; however, any edits to it will get removed if the file is opened in a newer version of Excel. Learn more: https://go.microsoft.com/fwlink/?linkid=870924
Comment:
    Value at 20% of India figure or CAGR at 15%, whichever is higher is considered, in our case 20% of India share is considered as it is higher of the two (We have fixed numberfs for 5 years as per ICEA statistics till the year 2025, post which we have assumed CAGR at 12% post the year 2025)</t>
      </text>
    </comment>
    <comment ref="W7" authorId="10" shapeId="0" xr:uid="{59D80021-B9CD-4F2B-B239-E33F095721FD}">
      <text>
        <t>[Threaded comment]
Your version of Excel allows you to read this threaded comment; however, any edits to it will get removed if the file is opened in a newer version of Excel. Learn more: https://go.microsoft.com/fwlink/?linkid=870924
Comment:
    Number based on ICEA projections excluding consumer electronics</t>
      </text>
    </comment>
    <comment ref="X7" authorId="11" shapeId="0" xr:uid="{2C8E9287-7DA1-4B6C-8D35-3710C90F4354}">
      <text>
        <t>[Threaded comment]
Your version of Excel allows you to read this threaded comment; however, any edits to it will get removed if the file is opened in a newer version of Excel. Learn more: https://go.microsoft.com/fwlink/?linkid=870924
Comment:
    Value at 20% of India figure or CAGR at 15%, whichever is higher is considered, in our case 20% of India share is considered as it is higher of the two (We have fixed numberfs for 5 years as per ICEA statistics till the year 2025, post which we have assumed CAGR at 12% post the year 2025)</t>
      </text>
    </comment>
    <comment ref="Z7" authorId="12" shapeId="0" xr:uid="{E73021FA-67A8-4717-A9F1-969E3CF099AC}">
      <text>
        <t>[Threaded comment]
Your version of Excel allows you to read this threaded comment; however, any edits to it will get removed if the file is opened in a newer version of Excel. Learn more: https://go.microsoft.com/fwlink/?linkid=870924
Comment:
    Growth Rate considered at 12% post the year 2025-26</t>
      </text>
    </comment>
    <comment ref="B8" authorId="13" shapeId="0" xr:uid="{958B7EA9-9D75-4888-ABE0-54EAB1B7DCC3}">
      <text>
        <t>[Threaded comment]
Your version of Excel allows you to read this threaded comment; however, any edits to it will get removed if the file is opened in a newer version of Excel. Learn more: https://go.microsoft.com/fwlink/?linkid=870924
Comment:
    Assumed based on fixed numbers for 5 years as per Frost and Sullivan Report on Impact Analysis of increased manufacturing till the year 2025, post which we have assumed CAGR at 12% post the year 2025) - Page 58</t>
      </text>
    </comment>
    <comment ref="D8" authorId="14" shapeId="0" xr:uid="{DEC58BB6-BB36-48AF-B56C-D31B6EC1A9E7}">
      <text>
        <t>[Threaded comment]
Your version of Excel allows you to read this threaded comment; however, any edits to it will get removed if the file is opened in a newer version of Excel. Learn more: https://go.microsoft.com/fwlink/?linkid=870924
Comment:
    9300 Crores INR converted to Billion ~ 1 Bn is 7500 Crores</t>
      </text>
    </comment>
    <comment ref="B9" authorId="15" shapeId="0" xr:uid="{87C2C3DC-DE0A-452B-8407-844C6FC2F4EC}">
      <text>
        <t>[Threaded comment]
Your version of Excel allows you to read this threaded comment; however, any edits to it will get removed if the file is opened in a newer version of Excel. Learn more: https://go.microsoft.com/fwlink/?linkid=870924
Comment:
    Assumed based on fixed numbers for 5 years as per Frost and Sullivan Report on Impact Analysis of increased manufacturing till the year 2025, post which we have assumed CAGR at 12% post the year 2025) - Page 53</t>
      </text>
    </comment>
    <comment ref="B10" authorId="16" shapeId="0" xr:uid="{83F80157-A737-438F-B786-B91C992CD854}">
      <text>
        <t>[Threaded comment]
Your version of Excel allows you to read this threaded comment; however, any edits to it will get removed if the file is opened in a newer version of Excel. Learn more: https://go.microsoft.com/fwlink/?linkid=870924
Comment:
    Assumed based on fixed numbers for 5 years as per Frost and Sullivan Report on Impact Analysis of increased manufacturing till the year 2025, post which we have assumed CAGR at 12% post the year 2025) - Page 63</t>
      </text>
    </comment>
    <comment ref="B11" authorId="17" shapeId="0" xr:uid="{46487F2E-4474-4623-BCB7-691884E685F0}">
      <text>
        <t>[Threaded comment]
Your version of Excel allows you to read this threaded comment; however, any edits to it will get removed if the file is opened in a newer version of Excel. Learn more: https://go.microsoft.com/fwlink/?linkid=870924
Comment:
    Assumed based on fixed numbers for 5 years as per Frost and Sullivan Report on Impact Analysis of increased manufacturing till the year 2025, post which we have assumed CAGR at 12% post the year 2025) - Page 68</t>
      </text>
    </comment>
    <comment ref="B12" authorId="18" shapeId="0" xr:uid="{D720BD7C-8E12-4F49-B4E3-FD18E03F794A}">
      <text>
        <t>[Threaded comment]
Your version of Excel allows you to read this threaded comment; however, any edits to it will get removed if the file is opened in a newer version of Excel. Learn more: https://go.microsoft.com/fwlink/?linkid=870924
Comment:
    Assumed based on fixed numbers for 5 years as per Frost and Sullivan Report on Impact Analysis of increased manufacturing till the year 2025, post which we have assumed CAGR at 12% post the year 2025) - Page 73</t>
      </text>
    </comment>
    <comment ref="B14" authorId="19" shapeId="0" xr:uid="{FD12EB49-59F8-4FC7-9852-4EC56716A577}">
      <text>
        <t>[Threaded comment]
Your version of Excel allows you to read this threaded comment; however, any edits to it will get removed if the file is opened in a newer version of Excel. Learn more: https://go.microsoft.com/fwlink/?linkid=870924
Comment:
    Source for targets from IBS (From the year 2027-28, the estimates have been increased for Karnataka share at 40% assuming completion of semicon fab facility in Karnataka  - The GoI scheme for Semicon and Dispay Fabs aims at attracting 2 semicon fab and 2 display fab out of which 1 semicon fab (ISMC) has landed in Karnataka so 50% of India revenue should be considered for Karnataka (Since Mysuru falls in BB cluster - Karnataka share is same for BB share)</t>
      </text>
    </comment>
    <comment ref="B15" authorId="20" shapeId="0" xr:uid="{234890A6-A915-4431-A85D-7053C9F983CD}">
      <text>
        <t>[Threaded comment]
Your version of Excel allows you to read this threaded comment; however, any edits to it will get removed if the file is opened in a newer version of Excel. Learn more: https://go.microsoft.com/fwlink/?linkid=870924
Comment:
    Insights from ICEA</t>
      </text>
    </comment>
    <comment ref="B16" authorId="21" shapeId="0" xr:uid="{8294A234-8AF2-4A40-9A24-E6A1A14B8384}">
      <text>
        <t>[Threaded comment]
Your version of Excel allows you to read this threaded comment; however, any edits to it will get removed if the file is opened in a newer version of Excel. Learn more: https://go.microsoft.com/fwlink/?linkid=870924
Comment:
    Insights from ICEA</t>
      </text>
    </comment>
    <comment ref="B17" authorId="22" shapeId="0" xr:uid="{62F5CA08-A7EB-45AD-811F-01D411349962}">
      <text>
        <t>[Threaded comment]
Your version of Excel allows you to read this threaded comment; however, any edits to it will get removed if the file is opened in a newer version of Excel. Learn more: https://go.microsoft.com/fwlink/?linkid=870924
Comment:
    Reference assumed - CAGR of 2.6 % till the year 2027 https://www.prnewswire.com/news-releases/medical-electronics-market-size-to-reach-usd-5256-6-million-by-2027-at-cagr-2-6---valuates-reports-301268927.html</t>
      </text>
    </comment>
    <comment ref="D17" authorId="23" shapeId="0" xr:uid="{FAE71165-AA83-4F89-BB6D-1957D43336D0}">
      <text>
        <t>[Threaded comment]
Your version of Excel allows you to read this threaded comment; however, any edits to it will get removed if the file is opened in a newer version of Excel. Learn more: https://go.microsoft.com/fwlink/?linkid=870924
Comment:
    Reference assumed as per article by CISION PR Newswire - CAGR of 2.6 % till the year 2027 https://www.prnewswire.com/news-releases/medical-electronics-market-size-to-reach-usd-5256-6-million-by-2027-at-cagr-2-6---valuates-reports-301268927.html</t>
      </text>
    </comment>
    <comment ref="B18" authorId="24" shapeId="0" xr:uid="{8063BB66-C488-4186-9EA4-6F69610906C8}">
      <text>
        <t>[Threaded comment]
Your version of Excel allows you to read this threaded comment; however, any edits to it will get removed if the file is opened in a newer version of Excel. Learn more: https://go.microsoft.com/fwlink/?linkid=870924
Comment:
    https://www.psmarketresearch.com/press-release/electric-vehicle-component-market-in-india#:~:text=Additionally%2C%20a%20decline%20is%20being,million%20in%20revenue%20in%202019.</t>
      </text>
    </comment>
    <comment ref="O21" authorId="25" shapeId="0" xr:uid="{EFB793D5-CAB0-4948-B38A-BDAF3F4126CE}">
      <text>
        <t>[Threaded comment]
Your version of Excel allows you to read this threaded comment; however, any edits to it will get removed if the file is opened in a newer version of Excel. Learn more: https://go.microsoft.com/fwlink/?linkid=870924
Comment:
    Value at 20% of India figure or CAGR at 15%, whichever is higher is considered, in our case 20% of India share is considered as it is higher of the two (We have fixed numbers for 5 years as per Frost and Sullivan Report on Impact Analysis of increased manufacturing till the year 2025, post which we have assumed CAGR at 12% post the year 2025)</t>
      </text>
    </comment>
    <comment ref="R21" authorId="26" shapeId="0" xr:uid="{743CA301-BCBD-47C4-A283-6EAE25DBC66A}">
      <text>
        <t>[Threaded comment]
Your version of Excel allows you to read this threaded comment; however, any edits to it will get removed if the file is opened in a newer version of Excel. Learn more: https://go.microsoft.com/fwlink/?linkid=870924
Comment:
    Value at 20% of India figure or CAGR at 15%, whichever is higher is considered, in our case 20% of India share is considered as it is higher of the two (We have fixed numbers for 5 years as per Frost and Sullivan Report on Impact Analysis of increased manufacturing till the year 2025, post which we have assumed CAGR at 12% post the year 2025)</t>
      </text>
    </comment>
    <comment ref="U21" authorId="27" shapeId="0" xr:uid="{C5941452-8295-481E-AC4D-E3839FB11814}">
      <text>
        <t>[Threaded comment]
Your version of Excel allows you to read this threaded comment; however, any edits to it will get removed if the file is opened in a newer version of Excel. Learn more: https://go.microsoft.com/fwlink/?linkid=870924
Comment:
    Value at 20% of India figure or CAGR at 15%, whichever is higher is considered, in our case 20% of India share is considered as it is higher of the two (We have fixed numbers for 5 years as per Frost and Sullivan Report on Impact Analysis of increased manufacturing till the year 2025, post which we have assumed CAGR at 12% post the year 2025)</t>
      </text>
    </comment>
    <comment ref="X21" authorId="28" shapeId="0" xr:uid="{C917B0B8-F1BD-4FAA-8F27-A972F98003FC}">
      <text>
        <t>[Threaded comment]
Your version of Excel allows you to read this threaded comment; however, any edits to it will get removed if the file is opened in a newer version of Excel. Learn more: https://go.microsoft.com/fwlink/?linkid=870924
Comment:
    Value at 20% of India figure or CAGR at 15%, whichever is higher is considered, in our case 20% of India share is considered as it is higher of the two (We have fixed numbers for 5 years as per Frost and Sullivan Report on Impact Analysis of increased manufacturing till the year 2025, post which we have assumed CAGR at 12% post the year 2025)</t>
      </text>
    </comment>
    <comment ref="Z21" authorId="29" shapeId="0" xr:uid="{F53218C4-5A09-4C9A-9652-F824FA7F60BE}">
      <text>
        <t>[Threaded comment]
Your version of Excel allows you to read this threaded comment; however, any edits to it will get removed if the file is opened in a newer version of Excel. Learn more: https://go.microsoft.com/fwlink/?linkid=870924
Comment:
    We have fixed numbers for 5 years as per Frost and Sullivan Report on Impact Analysis of increased manufacturing till the year 2025, post which we have assumed CAGR at 12% post the year 2025</t>
      </text>
    </comment>
    <comment ref="AA21" authorId="30" shapeId="0" xr:uid="{4462713D-8E80-444A-8069-2E95B9B1EF81}">
      <text>
        <t>[Threaded comment]
Your version of Excel allows you to read this threaded comment; however, any edits to it will get removed if the file is opened in a newer version of Excel. Learn more: https://go.microsoft.com/fwlink/?linkid=870924
Comment:
    Value at 20% of India figure or CAGR at 15%, whichever is higher is considered, in our case 20% of India share is considered as it is higher of the two (We have fixed numbers for 5 years as per Frost and Sullivan Report on Impact Analysis of increased manufacturing till the year 2025, post which we have assumed CAGR at 12% post the year 2025)</t>
      </text>
    </comment>
    <comment ref="AD21" authorId="31" shapeId="0" xr:uid="{8FE5E628-2F06-4396-A68E-C09626B901CE}">
      <text>
        <t>[Threaded comment]
Your version of Excel allows you to read this threaded comment; however, any edits to it will get removed if the file is opened in a newer version of Excel. Learn more: https://go.microsoft.com/fwlink/?linkid=870924
Comment:
    Value at 20% of India figure or CAGR at 15%, whichever is higher is considered, in our case 20% of India share is considered as it is higher of the two (We have fixed numbers for 5 years as per Frost and Sullivan Report on Impact Analysis of increased manufacturing till the year 2025, post which we have assumed CAGR at 12% post the year 2025)</t>
      </text>
    </comment>
    <comment ref="AG21" authorId="32" shapeId="0" xr:uid="{B8DC9D6F-821A-48D6-87E2-6560DC470401}">
      <text>
        <t>[Threaded comment]
Your version of Excel allows you to read this threaded comment; however, any edits to it will get removed if the file is opened in a newer version of Excel. Learn more: https://go.microsoft.com/fwlink/?linkid=870924
Comment:
    Value at 20% of India figure or CAGR at 15%, whichever is higher is considered, in our case 20% of India share is considered as it is higher of the two (We have fixed numbers for 5 years as per Frost and Sullivan Report on Impact Analysis of increased manufacturing till the year 2025, post which we have assumed CAGR at 12% post the year 2025)</t>
      </text>
    </comment>
    <comment ref="AJ21" authorId="33" shapeId="0" xr:uid="{C1EC5886-4FE3-4763-871B-2EE73AF8B0EC}">
      <text>
        <t>[Threaded comment]
Your version of Excel allows you to read this threaded comment; however, any edits to it will get removed if the file is opened in a newer version of Excel. Learn more: https://go.microsoft.com/fwlink/?linkid=870924
Comment:
    Value at 20% of India figure or CAGR at 15%, whichever is higher is considered, in our case 20% of India share is considered as it is higher of the two (We have fixed numbers for 5 years as per Frost and Sullivan Report on Impact Analysis of increased manufacturing till the year 2025, post which we have assumed CAGR at 12% post the year 2025)</t>
      </text>
    </comment>
    <comment ref="AM21" authorId="34" shapeId="0" xr:uid="{2A62E95A-FD80-4DB5-A5E4-3EC4AF53786A}">
      <text>
        <t>[Threaded comment]
Your version of Excel allows you to read this threaded comment; however, any edits to it will get removed if the file is opened in a newer version of Excel. Learn more: https://go.microsoft.com/fwlink/?linkid=870924
Comment:
    Value at 20% of India figure or CAGR at 15%, whichever is higher is considered, in our case 20% of India share is considered as it is higher of the two (We have fixed numbers for 5 years as per Frost and Sullivan Report on Impact Analysis of increased manufacturing till the year 2025, post which we have assumed CAGR at 12% post the year 2025)</t>
      </text>
    </comment>
    <comment ref="C22" authorId="35" shapeId="0" xr:uid="{BD78FA93-78F7-4FE0-8EF8-1974B8F6F0DC}">
      <text>
        <t>[Threaded comment]
Your version of Excel allows you to read this threaded comment; however, any edits to it will get removed if the file is opened in a newer version of Excel. Learn more: https://go.microsoft.com/fwlink/?linkid=870924
Comment:
    https://www.pib.gov.in/PressReleasePage.aspx?PRID=1710113
https://pib.gov.in/PressReleasePage.aspx?PRID=1757651
https://pib.gov.in/PressReleasePage.aspx?PRID=1783827</t>
      </text>
    </comment>
    <comment ref="Z22" authorId="36" shapeId="0" xr:uid="{06543DEA-7B04-484E-947E-1258E06F1B41}">
      <text>
        <t>[Threaded comment]
Your version of Excel allows you to read this threaded comment; however, any edits to it will get removed if the file is opened in a newer version of Excel. Learn more: https://go.microsoft.com/fwlink/?linkid=870924
Comment:
    We have fixed numbers for 5 years as per Frost and Sullivan Report on Impact Analysis of increased manufacturing till the year 2025, post which we have assumed CAGR at 12% post the year 2025</t>
      </text>
    </comment>
    <comment ref="Z23" authorId="37" shapeId="0" xr:uid="{A9752DBA-D7F7-45F2-AFE9-055E8DB1A4BF}">
      <text>
        <t>[Threaded comment]
Your version of Excel allows you to read this threaded comment; however, any edits to it will get removed if the file is opened in a newer version of Excel. Learn more: https://go.microsoft.com/fwlink/?linkid=870924
Comment:
    We have fixed numbers for 5 years as per Frost and Sullivan Report on Impact Analysis of increased manufacturing till the year 2025, post which we have assumed CAGR at 12% post the year 2025</t>
      </text>
    </comment>
    <comment ref="Z24" authorId="38" shapeId="0" xr:uid="{89305DDB-05C8-435C-A759-2779C9ABC78F}">
      <text>
        <t>[Threaded comment]
Your version of Excel allows you to read this threaded comment; however, any edits to it will get removed if the file is opened in a newer version of Excel. Learn more: https://go.microsoft.com/fwlink/?linkid=870924
Comment:
    We have fixed numbers for 5 years as per Frost and Sullivan Report on Impact Analysis of increased manufacturing till the year 2025, post which we have assumed CAGR at 12% post the year 2025</t>
      </text>
    </comment>
    <comment ref="Z25" authorId="39" shapeId="0" xr:uid="{511D5155-56A7-4987-8D17-E04F77030D98}">
      <text>
        <t>[Threaded comment]
Your version of Excel allows you to read this threaded comment; however, any edits to it will get removed if the file is opened in a newer version of Excel. Learn more: https://go.microsoft.com/fwlink/?linkid=870924
Comment:
    We have fixed numbers for 5 years as per Frost and Sullivan Report on Impact Analysis of increased manufacturing till the year 2025, post which we have assumed CAGR at 12% post the year 2025</t>
      </text>
    </comment>
    <comment ref="M27" authorId="40" shapeId="0" xr:uid="{96A34837-1031-4F19-9DB1-073855C80535}">
      <text>
        <t>[Threaded comment]
Your version of Excel allows you to read this threaded comment; however, any edits to it will get removed if the file is opened in a newer version of Excel. Learn more: https://go.microsoft.com/fwlink/?linkid=870924
Comment:
    Insights from IESA - 2 for India and 1 will be in Karnataka</t>
      </text>
    </comment>
    <comment ref="N27" authorId="41" shapeId="0" xr:uid="{815211C6-54DC-400D-990F-27FA56BBBE56}">
      <text>
        <t>[Threaded comment]
Your version of Excel allows you to read this threaded comment; however, any edits to it will get removed if the file is opened in a newer version of Excel. Learn more: https://go.microsoft.com/fwlink/?linkid=870924
Comment:
    Establishment period till the year 2025 so it is considered 0 for the first 3 years</t>
      </text>
    </comment>
    <comment ref="W27" authorId="42" shapeId="0" xr:uid="{3919250C-1E8F-480D-8E96-29017AA5D53A}">
      <text>
        <t>[Threaded comment]
Your version of Excel allows you to read this threaded comment; however, any edits to it will get removed if the file is opened in a newer version of Excel. Learn more: https://go.microsoft.com/fwlink/?linkid=870924
Comment:
    Assuming 30% of returns for ~3 Bn investment (As per ISMC Financial partners) and insights from IESA discussion</t>
      </text>
    </comment>
    <comment ref="X27" authorId="43" shapeId="0" xr:uid="{864C82F3-61C6-4BF2-B9DD-F86535FB7974}">
      <text>
        <t>[Threaded comment]
Your version of Excel allows you to read this threaded comment; however, any edits to it will get removed if the file is opened in a newer version of Excel. Learn more: https://go.microsoft.com/fwlink/?linkid=870924
Comment:
    Assuming 30% of returns for ~3 Bn investment (As per ISMC Financial partners) and insights from IESA discussion   1 in Karnataka and 1 outside Karnataka</t>
      </text>
    </comment>
    <comment ref="M28" authorId="44" shapeId="0" xr:uid="{A4FBD167-283A-4E8F-B007-4B8C68637C64}">
      <text>
        <t>[Threaded comment]
Your version of Excel allows you to read this threaded comment; however, any edits to it will get removed if the file is opened in a newer version of Excel. Learn more: https://go.microsoft.com/fwlink/?linkid=870924
Comment:
    Insights from ICEA Report</t>
      </text>
    </comment>
    <comment ref="N28" authorId="45" shapeId="0" xr:uid="{F8E65DBC-1860-4A11-98AA-13FF65D0AED4}">
      <text>
        <t>[Threaded comment]
Your version of Excel allows you to read this threaded comment; however, any edits to it will get removed if the file is opened in a newer version of Excel. Learn more: https://go.microsoft.com/fwlink/?linkid=870924
Comment:
    Based on ICEA estimates</t>
      </text>
    </comment>
    <comment ref="Z28" authorId="46" shapeId="0" xr:uid="{578396CB-6ACA-421D-BDCB-6BE086135405}">
      <text>
        <t>[Threaded comment]
Your version of Excel allows you to read this threaded comment; however, any edits to it will get removed if the file is opened in a newer version of Excel. Learn more: https://go.microsoft.com/fwlink/?linkid=870924
Comment:
    Assumed CAGR growth of 27%</t>
      </text>
    </comment>
    <comment ref="N30" authorId="47" shapeId="0" xr:uid="{4267ED44-EC34-43DD-83DD-FD61AA7C2CF9}">
      <text>
        <t>[Threaded comment]
Your version of Excel allows you to read this threaded comment; however, any edits to it will get removed if the file is opened in a newer version of Excel. Learn more: https://go.microsoft.com/fwlink/?linkid=870924
Comment:
    Reference assumed - CAGR of 2.6 % till the year 2027 https://www.prnewswire.com/news-releases/medical-electronics-market-size-to-reach-usd-5256-6-million-by-2027-at-cagr-2-6---valuates-reports-301268927.html</t>
      </text>
    </comment>
    <comment ref="O30" authorId="48" shapeId="0" xr:uid="{0B2E4D41-D6E4-42C5-AEB5-32E859648EEE}">
      <text>
        <t>[Threaded comment]
Your version of Excel allows you to read this threaded comment; however, any edits to it will get removed if the file is opened in a newer version of Excel. Learn more: https://go.microsoft.com/fwlink/?linkid=870924
Comment:
    Value at 20% of India figure or CAGR at 15%, whichever is higher is considered, in our case 20% of India share is considered as it is higher of the two (We have fixed numberfs for 5 years as per ICEA statistics till the year 2025, post which we have assumed CAGR at 12% post the year 2025)</t>
      </text>
    </comment>
    <comment ref="R30" authorId="49" shapeId="0" xr:uid="{9B8308A2-A6E2-4FB4-9B69-6683A8EAD2DA}">
      <text>
        <t>[Threaded comment]
Your version of Excel allows you to read this threaded comment; however, any edits to it will get removed if the file is opened in a newer version of Excel. Learn more: https://go.microsoft.com/fwlink/?linkid=870924
Comment:
    Value at 20% of India figure or CAGR at 2.6%, whichever is higher is considered, in our case 20% of India share is considered as it is higher of the two (We have fixed numberfs for 5 years as per ICEA statistics till the year 2025, post which we have assumed CAGR at 12% post the year 2025)</t>
      </text>
    </comment>
    <comment ref="U30" authorId="50" shapeId="0" xr:uid="{FCEB0AFB-C1EA-41D4-876A-EE120589F776}">
      <text>
        <t>[Threaded comment]
Your version of Excel allows you to read this threaded comment; however, any edits to it will get removed if the file is opened in a newer version of Excel. Learn more: https://go.microsoft.com/fwlink/?linkid=870924
Comment:
    Value at 20% of India figure or CAGR at 15%, whichever is higher is considered, in our case 20% of India share is considered as it is higher of the two (We have fixed numberfs for 5 years as per ICEA statistics till the year 2025, post which we have assumed CAGR at 12% post the year 2025)</t>
      </text>
    </comment>
    <comment ref="AC30" authorId="51" shapeId="0" xr:uid="{63B48B85-DECA-445B-A216-B6498892DCD5}">
      <text>
        <t>[Threaded comment]
Your version of Excel allows you to read this threaded comment; however, any edits to it will get removed if the file is opened in a newer version of Excel. Learn more: https://go.microsoft.com/fwlink/?linkid=870924
Comment:
    Projected to reach USD 5256.6 Million by 2027 as per the article
Reference assumed - CAGR of 2.6 % till the year 2027 https://www.prnewswire.com/news-releases/medical-electronics-market-size-to-reach-usd-5256-6-million-by-2027-at-cagr-2-6---valuates-reports-301268927.html</t>
      </text>
    </comment>
    <comment ref="AF30" authorId="52" shapeId="0" xr:uid="{3D22F1CD-FA64-4AF9-93B2-CC05EAE0C0F7}">
      <text>
        <t>[Threaded comment]
Your version of Excel allows you to read this threaded comment; however, any edits to it will get removed if the file is opened in a newer version of Excel. Learn more: https://go.microsoft.com/fwlink/?linkid=870924
Comment:
    Projected to reach USD 5256.6 Million by 2027 as per the article
Assumed to continue at - CAGR of 2.6 % till the year 2030 (Post the year 2027)https://www.prnewswire.com/news-releases/medical-electronics-market-size-to-reach-usd-5256-6-million-by-2027-at-cagr-2-6---valuates-reports-301268927.html</t>
      </text>
    </comment>
    <comment ref="AI30" authorId="53" shapeId="0" xr:uid="{3496266B-66D6-4D46-B3A1-DE3E93B40C4B}">
      <text>
        <t>[Threaded comment]
Your version of Excel allows you to read this threaded comment; however, any edits to it will get removed if the file is opened in a newer version of Excel. Learn more: https://go.microsoft.com/fwlink/?linkid=870924
Comment:
    Projected to reach USD 5256.6 Million by 2027 as per the article
Assumed to continue at - CAGR of 2.6 % till the year 2030 (Post the year 2027)https://www.prnewswire.com/news-releases/medical-electronics-market-size-to-reach-usd-5256-6-million-by-2027-at-cagr-2-6---valuates-reports-301268927.html</t>
      </text>
    </comment>
    <comment ref="AL30" authorId="54" shapeId="0" xr:uid="{AC4E6D96-49C7-40C2-8FBC-43E8D6C52599}">
      <text>
        <t>[Threaded comment]
Your version of Excel allows you to read this threaded comment; however, any edits to it will get removed if the file is opened in a newer version of Excel. Learn more: https://go.microsoft.com/fwlink/?linkid=870924
Comment:
    Projected to reach USD 5256.6 Million by 2027 as per the article
Assumed to continue at - CAGR of 2.6 % till the year 2030 (Post the year 2027)https://www.prnewswire.com/news-releases/medical-electronics-market-size-to-reach-usd-5256-6-million-by-2027-at-cagr-2-6---valuates-reports-301268927.html</t>
      </text>
    </comment>
    <comment ref="N33" authorId="55" shapeId="0" xr:uid="{D697C2C9-0DEE-4B28-B1B5-23D12CFEC7D5}">
      <text>
        <t>[Threaded comment]
Your version of Excel allows you to read this threaded comment; however, any edits to it will get removed if the file is opened in a newer version of Excel. Learn more: https://go.microsoft.com/fwlink/?linkid=870924
Comment:
    Considered at 0 assuming that the capiticity utilization would start in the coming year 2023-24</t>
      </text>
    </comment>
    <comment ref="Q33" authorId="56" shapeId="0" xr:uid="{29BD089F-C2B0-41A4-B518-8E89DBC4AC63}">
      <text>
        <t>[Threaded comment]
Your version of Excel allows you to read this threaded comment; however, any edits to it will get removed if the file is opened in a newer version of Excel. Learn more: https://go.microsoft.com/fwlink/?linkid=870924
Comment:
    Assuming 1 Billion is 100 Crores and the calculation is made as per 250 + 50 Crores INR</t>
      </text>
    </comment>
    <comment ref="T33" authorId="57" shapeId="0" xr:uid="{BFE5CBE2-CFB2-44CD-B212-2FC5FAE8F517}">
      <text>
        <t>[Threaded comment]
Your version of Excel allows you to read this threaded comment; however, any edits to it will get removed if the file is opened in a newer version of Excel. Learn more: https://go.microsoft.com/fwlink/?linkid=870924
Comment:
    Assuming 1 Billion is 100 Crores and the calculation is made as per 500 + 100 Crores INR 600 Crores</t>
      </text>
    </comment>
    <comment ref="W33" authorId="58" shapeId="0" xr:uid="{A82D5434-32A3-49F4-BC80-2284BE0DBE8B}">
      <text>
        <t>[Threaded comment]
Your version of Excel allows you to read this threaded comment; however, any edits to it will get removed if the file is opened in a newer version of Excel. Learn more: https://go.microsoft.com/fwlink/?linkid=870924
Comment:
    Assuming 1 Billion is 100 Crores and the calculation is made as per 1000 + 200 Crores INR 1200 Crores</t>
      </text>
    </comment>
    <comment ref="Z33" authorId="59" shapeId="0" xr:uid="{21567EE2-4E56-43E4-8B34-006383E575FD}">
      <text>
        <t>[Threaded comment]
Your version of Excel allows you to read this threaded comment; however, any edits to it will get removed if the file is opened in a newer version of Excel. Learn more: https://go.microsoft.com/fwlink/?linkid=870924
Comment:
    Assuming 1 Billion is 100 Crores and the calculation is made as per 2000 + 300 Crores INR 2300 Crores</t>
      </text>
    </comment>
    <comment ref="AC33" authorId="60" shapeId="0" xr:uid="{268F7A32-0FFB-4F5B-B5A2-C1D0C2341ABE}">
      <text>
        <t>[Threaded comment]
Your version of Excel allows you to read this threaded comment; however, any edits to it will get removed if the file is opened in a newer version of Excel. Learn more: https://go.microsoft.com/fwlink/?linkid=870924
Comment:
    Assuming 1 Billion is 100 Crores and the calculation is made as per 3000 + 400 Crores INR 3400 Crores</t>
      </text>
    </comment>
    <comment ref="E58" authorId="61" shapeId="0" xr:uid="{635924CC-AF56-40A7-BC60-F0BA3B68AFD7}">
      <text>
        <t>[Threaded comment]
Your version of Excel allows you to read this threaded comment; however, any edits to it will get removed if the file is opened in a newer version of Excel. Learn more: https://go.microsoft.com/fwlink/?linkid=870924
Comment:
    Karnataka revenue share considered at 20% of India value and for employment it is considered at 15%</t>
      </text>
    </comment>
    <comment ref="F58" authorId="62" shapeId="0" xr:uid="{9794C047-B6AC-417E-BE77-9895E954774C}">
      <text>
        <t>[Threaded comment]
Your version of Excel allows you to read this threaded comment; however, any edits to it will get removed if the file is opened in a newer version of Excel. Learn more: https://go.microsoft.com/fwlink/?linkid=870924
Comment:
    Growth rate considered at 12%</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tc={CFEFB833-8F58-401C-94B3-594524EDCD9E}</author>
    <author>tc={B6923ACB-25B2-4CF9-94C1-DFF3A3D029B5}</author>
  </authors>
  <commentList>
    <comment ref="C21" authorId="0" shapeId="0" xr:uid="{CFEFB833-8F58-401C-94B3-594524EDCD9E}">
      <text>
        <t>[Threaded comment]
Your version of Excel allows you to read this threaded comment; however, any edits to it will get removed if the file is opened in a newer version of Excel. Learn more: https://go.microsoft.com/fwlink/?linkid=870924
Comment:
    11.2 Mn converted to Bn</t>
      </text>
    </comment>
    <comment ref="C30" authorId="1" shapeId="0" xr:uid="{B6923ACB-25B2-4CF9-94C1-DFF3A3D029B5}">
      <text>
        <t>[Threaded comment]
Your version of Excel allows you to read this threaded comment; however, any edits to it will get removed if the file is opened in a newer version of Excel. Learn more: https://go.microsoft.com/fwlink/?linkid=870924
Comment:
    536.1 Mn converted to Bn</t>
      </text>
    </comment>
  </commentList>
</comments>
</file>

<file path=xl/sharedStrings.xml><?xml version="1.0" encoding="utf-8"?>
<sst xmlns="http://schemas.openxmlformats.org/spreadsheetml/2006/main" count="686" uniqueCount="205">
  <si>
    <t>2025-26</t>
  </si>
  <si>
    <t>2022-23</t>
  </si>
  <si>
    <t>2023-24</t>
  </si>
  <si>
    <t>2024-25</t>
  </si>
  <si>
    <t>2026-27</t>
  </si>
  <si>
    <t>2027-28</t>
  </si>
  <si>
    <t>2028-29</t>
  </si>
  <si>
    <t>2029-30</t>
  </si>
  <si>
    <t>2030-31</t>
  </si>
  <si>
    <t>ESDM</t>
  </si>
  <si>
    <t>India</t>
  </si>
  <si>
    <t>Karnataka</t>
  </si>
  <si>
    <t>Total Revenue India level</t>
  </si>
  <si>
    <t xml:space="preserve">India IT Exports </t>
  </si>
  <si>
    <t>India IT Domestic</t>
  </si>
  <si>
    <t>India ESDM</t>
  </si>
  <si>
    <t>India Start Up</t>
  </si>
  <si>
    <t>In USD Bn $</t>
  </si>
  <si>
    <t xml:space="preserve">Total Employment </t>
  </si>
  <si>
    <t>Karnataka (In Lakhs)</t>
  </si>
  <si>
    <t>Beyond Bengaluru</t>
  </si>
  <si>
    <t>Bangalore</t>
  </si>
  <si>
    <t xml:space="preserve">IT Exports </t>
  </si>
  <si>
    <t>IT Domestic</t>
  </si>
  <si>
    <t>Start Up</t>
  </si>
  <si>
    <t>Revenue</t>
  </si>
  <si>
    <t>Employment</t>
  </si>
  <si>
    <t>Total</t>
  </si>
  <si>
    <t>(In Lakhs)</t>
  </si>
  <si>
    <t>2021-22 Data</t>
  </si>
  <si>
    <t>In Millions</t>
  </si>
  <si>
    <t>In Lakhs</t>
  </si>
  <si>
    <t>Only Bangalore</t>
  </si>
  <si>
    <t>Till the year 2025</t>
  </si>
  <si>
    <t>From the year 2025-2030</t>
  </si>
  <si>
    <t>IT Exports and IT Domestic</t>
  </si>
  <si>
    <t>ESDM (India and Karnataka)</t>
  </si>
  <si>
    <t>Startups (India and Karnataka)</t>
  </si>
  <si>
    <t>Growth assumptions made for the calculation</t>
  </si>
  <si>
    <t xml:space="preserve">Beyond Bengaluru </t>
  </si>
  <si>
    <t>(In Bn $ USD)</t>
  </si>
  <si>
    <t>Other sub-sectors of digital economy:</t>
  </si>
  <si>
    <t>Digital Economy Sector - India and Karnataka</t>
  </si>
  <si>
    <t>&gt;&gt; For ESDM</t>
  </si>
  <si>
    <t xml:space="preserve">Total in Lakhs </t>
  </si>
  <si>
    <t>&gt;&gt; Karnataka revenue share considered at 20% of India value</t>
  </si>
  <si>
    <t>Total ESDM Revenue</t>
  </si>
  <si>
    <t>ESDM Revenue (Excluding Consumer electronics)</t>
  </si>
  <si>
    <t>Total Revenue</t>
  </si>
  <si>
    <t>ESDM Estimation of values (2022-2030)</t>
  </si>
  <si>
    <t>Semicon Fab</t>
  </si>
  <si>
    <t>Display Fab</t>
  </si>
  <si>
    <t>Medtech (Medical Electronics)</t>
  </si>
  <si>
    <t xml:space="preserve">Total </t>
  </si>
  <si>
    <t>Total (Including TWS)</t>
  </si>
  <si>
    <t>TWS (Includes Wearables, hearables, Soundbars, portable BT speakers)</t>
  </si>
  <si>
    <t>(Includes Major ESDM apart from other inclusions which are separate)</t>
  </si>
  <si>
    <t>Other Inclusions to ESDM:</t>
  </si>
  <si>
    <t>** For Growth in Beyond Bengaluru assumed at 5% for other sub sectors of digital economy</t>
  </si>
  <si>
    <t>Consumer Electronics:</t>
  </si>
  <si>
    <t>Audio</t>
  </si>
  <si>
    <t>Air Conditioners</t>
  </si>
  <si>
    <t>Refrigerators</t>
  </si>
  <si>
    <t>Televisions</t>
  </si>
  <si>
    <t>Washing Machines</t>
  </si>
  <si>
    <t>Consumer electronics:</t>
  </si>
  <si>
    <t>ESDM (Excluding cosumer electronics)</t>
  </si>
  <si>
    <t>Electric Vehicles components</t>
  </si>
  <si>
    <t>Semiconductor and Display Fab:</t>
  </si>
  <si>
    <t>Compound Semiconductors (Sic Power Electronics Market)</t>
  </si>
  <si>
    <t>Compound Semiconductors (GaN Power Device Market Growth)</t>
  </si>
  <si>
    <t>Growth assumptions made for the calculation (Revenue)</t>
  </si>
  <si>
    <t>Forecast 2022 onwards</t>
  </si>
  <si>
    <t xml:space="preserve">Total in Million </t>
  </si>
  <si>
    <t>Option 2 (CAGR at 12%) - Considering employment @ same growth rate of 12% for IT, ESDM and Startups</t>
  </si>
  <si>
    <t>Option 3 (CAGR at 7%) - Considering employment @ same growth rate of 7% for IT, ESDM and Startups</t>
  </si>
  <si>
    <t>21-2022</t>
  </si>
  <si>
    <t>IT Exports - Karnataka contributes to 38% of India's IT Exports</t>
  </si>
  <si>
    <t>IT Domestic - Karnataka contributes to 30% of India's share</t>
  </si>
  <si>
    <t>ESDM - Karnataka share is considered at 20%</t>
  </si>
  <si>
    <t>Assumptions for Karnataka</t>
  </si>
  <si>
    <t>ESDM - Beyond Bengaluru contributes 5% of Karnataka's share</t>
  </si>
  <si>
    <t>Startups - Beyond Bengaluru contributes 25% of Karnataka's share</t>
  </si>
  <si>
    <t xml:space="preserve">Total Revenue </t>
  </si>
  <si>
    <t>Total (In Millions)</t>
  </si>
  <si>
    <t>Estimated employment projections based on revenue</t>
  </si>
  <si>
    <t>Revenue growth assumptions made for the calculation (Revenue)</t>
  </si>
  <si>
    <t>Beyond Bengaluru Workings (As per Beyond Bengaluru Report)</t>
  </si>
  <si>
    <t>Size of IT Industry</t>
  </si>
  <si>
    <t>2020-21</t>
  </si>
  <si>
    <t>2021-22</t>
  </si>
  <si>
    <t>IT Industry</t>
  </si>
  <si>
    <t>Option 4 (Assuming on basis of ratio of revenue growth)</t>
  </si>
  <si>
    <t>Startups - Karnataka's share is 40%</t>
  </si>
  <si>
    <t>Startups</t>
  </si>
  <si>
    <t>Total Approximate number of employees</t>
  </si>
  <si>
    <t xml:space="preserve">Number of Unicorns </t>
  </si>
  <si>
    <t>Number of start-ups</t>
  </si>
  <si>
    <t>CAGR %</t>
  </si>
  <si>
    <t>22% (Till 2026) &amp; 10.67% from 2026 to 2030</t>
  </si>
  <si>
    <t>Assumptions for Beyond Bengaluru (Figures assumed based on Beyond Bengaluru Report)</t>
  </si>
  <si>
    <t>Total Revenue on investment India level</t>
  </si>
  <si>
    <t>Investment estimation for ESDM sector (Generate revenue in US $ Bn)</t>
  </si>
  <si>
    <t>Contribution of startups to state GDP</t>
  </si>
  <si>
    <t>Reference links for EV</t>
  </si>
  <si>
    <t>Revenue estimation for Startups (In USD Bn)</t>
  </si>
  <si>
    <t>Assumed at growth of 9.5% every year</t>
  </si>
  <si>
    <t>Assumptions for State GDP (In USD Bn)</t>
  </si>
  <si>
    <t>https://www.icicidirect.com/calculators/cagr-calculator</t>
  </si>
  <si>
    <t>Digital Communication Services</t>
  </si>
  <si>
    <t>Government e-Market place</t>
  </si>
  <si>
    <t>Direct Benefit Transfer</t>
  </si>
  <si>
    <t>Tech-enabled healthcare</t>
  </si>
  <si>
    <t>Customizable education platform for students</t>
  </si>
  <si>
    <t>Digitally enabled power distribution</t>
  </si>
  <si>
    <t>Smart grids with distributed generation</t>
  </si>
  <si>
    <t>Digital payments</t>
  </si>
  <si>
    <t>Flow based lending and advanced credit (MSME's)</t>
  </si>
  <si>
    <t>Digital Farmer financing and insurance payouts</t>
  </si>
  <si>
    <t>Precision agriculture</t>
  </si>
  <si>
    <t>Universal agricultural marketplace</t>
  </si>
  <si>
    <t>Online talent platforms</t>
  </si>
  <si>
    <t>Efficient transport and logistics</t>
  </si>
  <si>
    <t>Business digitization and IoT based analytics</t>
  </si>
  <si>
    <t>End to end digital supply chain - Traditional Retail</t>
  </si>
  <si>
    <t>End to end digital supply chain - E-Commerce</t>
  </si>
  <si>
    <t>21-22</t>
  </si>
  <si>
    <t>22-23</t>
  </si>
  <si>
    <t>20-21</t>
  </si>
  <si>
    <t>INR Bn</t>
  </si>
  <si>
    <t>USD</t>
  </si>
  <si>
    <t>USD Bn</t>
  </si>
  <si>
    <t>1. Government E-Market place</t>
  </si>
  <si>
    <t>Workings for sub sectors of digital economy</t>
  </si>
  <si>
    <t>2. Direct Benefit transfer                        https://pib.gov.in/Pressreleaseshare.aspx?PRID=1616022</t>
  </si>
  <si>
    <t>https://www.xe.com/currencyconverter/convert/?Amount=366590000000&amp;From=INR&amp;To=USD</t>
  </si>
  <si>
    <t>FY 21-22</t>
  </si>
  <si>
    <t>FY 22-23</t>
  </si>
  <si>
    <t>FY 23-24</t>
  </si>
  <si>
    <t>FY 24-25</t>
  </si>
  <si>
    <t>FY 25-26</t>
  </si>
  <si>
    <t>FY 26-27</t>
  </si>
  <si>
    <t>FY 27-28</t>
  </si>
  <si>
    <t>FY 28-29</t>
  </si>
  <si>
    <t>FY 29-30</t>
  </si>
  <si>
    <t>FY 30-31</t>
  </si>
  <si>
    <t>Particulars</t>
  </si>
  <si>
    <t>IT Exports - Beyond Bengaluru contribution</t>
  </si>
  <si>
    <t>IT Domestic - Beyond Bengaluru contribution</t>
  </si>
  <si>
    <t>Share of Karnataka</t>
  </si>
  <si>
    <t>CAGR for Karnataka (In %)</t>
  </si>
  <si>
    <t>CAGR for India (In %)</t>
  </si>
  <si>
    <t>Total Employment (Direct)</t>
  </si>
  <si>
    <t>(Direct)</t>
  </si>
  <si>
    <t>Option 1 - Considering employment @ Growth assumptions as per revenue (At existing growth percentages considered for revenue estimation)</t>
  </si>
  <si>
    <t>Projected estimation of values (2022-2030)</t>
  </si>
  <si>
    <t>2025-26 to 2030-31 for Karnataka</t>
  </si>
  <si>
    <t>2025-26 to 2030-31 for India</t>
  </si>
  <si>
    <t xml:space="preserve">Assumptions for employment based on ratio of revenue growth </t>
  </si>
  <si>
    <t>Share of Beyond Bengaluru:</t>
  </si>
  <si>
    <t>IT Exports (India and Karnataka)</t>
  </si>
  <si>
    <t>IT Domestic (India and Karnataka)</t>
  </si>
  <si>
    <t>Start Ups</t>
  </si>
  <si>
    <t>Till 2025 - 30% and Post 2025 - 20%</t>
  </si>
  <si>
    <t>13.97% till the year 2030</t>
  </si>
  <si>
    <t>Revenue - GCC</t>
  </si>
  <si>
    <t>Revenue - ESDM</t>
  </si>
  <si>
    <t>Contribution of GCC to State GDP</t>
  </si>
  <si>
    <t>Contribution of ESDM to State GDP</t>
  </si>
  <si>
    <t>As per ICEA estimates (USD 300 Bn by 2025) (Have excluded consumer electronics)</t>
  </si>
  <si>
    <t>25-26</t>
  </si>
  <si>
    <t>29-30</t>
  </si>
  <si>
    <t>0.08</t>
  </si>
  <si>
    <t>0.10</t>
  </si>
  <si>
    <t>0.20</t>
  </si>
  <si>
    <t>0.47</t>
  </si>
  <si>
    <t>FY 31-32</t>
  </si>
  <si>
    <t>FY 32-33</t>
  </si>
  <si>
    <t>FY 33-34</t>
  </si>
  <si>
    <t>FY 34-35</t>
  </si>
  <si>
    <t>FY 35-36</t>
  </si>
  <si>
    <t>FY 36-37</t>
  </si>
  <si>
    <t>FY 37-38</t>
  </si>
  <si>
    <t>FY 38-39</t>
  </si>
  <si>
    <t>FY 39-40</t>
  </si>
  <si>
    <t>FY 40-41</t>
  </si>
  <si>
    <t>FY 41-42</t>
  </si>
  <si>
    <t>FY 42-43</t>
  </si>
  <si>
    <t>FY 43-44</t>
  </si>
  <si>
    <t>FY 44-45</t>
  </si>
  <si>
    <t>FY 45-46</t>
  </si>
  <si>
    <t>FY 46-47</t>
  </si>
  <si>
    <t>Assumptions for Global GDP (In USD Bn)</t>
  </si>
  <si>
    <t xml:space="preserve">Contribution of startups to Global GDP </t>
  </si>
  <si>
    <t>Global GDP 1985-2027 | Statista</t>
  </si>
  <si>
    <t>2031-32</t>
  </si>
  <si>
    <t>2032-33</t>
  </si>
  <si>
    <t>Karnataka value for startups</t>
  </si>
  <si>
    <t>IT Exports</t>
  </si>
  <si>
    <t>Contribution of Beyond Bengaluru to State GDP</t>
  </si>
  <si>
    <t>Revenue from Beyond Bengaluru (Projected)</t>
  </si>
  <si>
    <t>BB Employment share calculation</t>
  </si>
  <si>
    <t>Revenue (In USD Bn)</t>
  </si>
  <si>
    <t>Employment (In Millions)</t>
  </si>
  <si>
    <t>Number of Unicorns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</si>
</sst>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11" x14ac:knownFonts="1">
    <font>
      <sz val="11"/>
      <color theme="1"/>
      <name val="Calibri"/>
      <family val="2"/>
      <scheme val="minor"/>
    </font>
    <font>
      <b/>
      <sz val="14"/>
      <color theme="1"/>
      <name val="Calibri"/>
      <family val="2"/>
      <scheme val="minor"/>
    </font>
    <font>
      <b/>
      <sz val="11"/>
      <color theme="1"/>
      <name val="Calibri"/>
      <family val="2"/>
      <scheme val="minor"/>
    </font>
    <font>
      <b/>
      <sz val="12"/>
      <color theme="1"/>
      <name val="Calibri"/>
      <family val="2"/>
      <scheme val="minor"/>
    </font>
    <font>
      <i/>
      <sz val="11"/>
      <color theme="1"/>
      <name val="Calibri"/>
      <family val="2"/>
      <scheme val="minor"/>
    </font>
    <font>
      <b/>
      <i/>
      <u/>
      <sz val="11"/>
      <color theme="1"/>
      <name val="Calibri"/>
      <family val="2"/>
      <scheme val="minor"/>
    </font>
    <font>
      <b/>
      <i/>
      <sz val="11"/>
      <color theme="1"/>
      <name val="Calibri"/>
      <family val="2"/>
      <scheme val="minor"/>
    </font>
    <font>
      <sz val="8"/>
      <name val="Calibri"/>
      <family val="2"/>
      <scheme val="minor"/>
    </font>
    <font>
      <b/>
      <sz val="11"/>
      <name val="Calibri"/>
      <family val="2"/>
      <scheme val="minor"/>
    </font>
    <font>
      <u/>
      <sz val="11"/>
      <color theme="10"/>
      <name val="Calibri"/>
      <family val="2"/>
      <scheme val="minor"/>
    </font>
    <font>
      <sz val="9"/>
      <color theme="1"/>
      <name val="Segoe UI"/>
      <family val="2"/>
    </font>
  </fonts>
  <fills count="10">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4" tint="0.79998168889431442"/>
        <bgColor indexed="64"/>
      </patternFill>
    </fill>
    <fill>
      <patternFill patternType="solid">
        <fgColor theme="9" tint="0.59999389629810485"/>
        <bgColor indexed="64"/>
      </patternFill>
    </fill>
  </fills>
  <borders count="10">
    <border>
      <left/>
      <right/>
      <top/>
      <bottom/>
      <diagonal/>
    </border>
    <border>
      <left style="thick">
        <color auto="1"/>
      </left>
      <right style="thick">
        <color auto="1"/>
      </right>
      <top style="thick">
        <color auto="1"/>
      </top>
      <bottom style="thick">
        <color auto="1"/>
      </bottom>
      <diagonal/>
    </border>
    <border>
      <left/>
      <right style="thick">
        <color auto="1"/>
      </right>
      <top style="thick">
        <color auto="1"/>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style="thick">
        <color auto="1"/>
      </left>
      <right/>
      <top style="thick">
        <color auto="1"/>
      </top>
      <bottom/>
      <diagonal/>
    </border>
    <border>
      <left/>
      <right/>
      <top style="thick">
        <color auto="1"/>
      </top>
      <bottom/>
      <diagonal/>
    </border>
    <border>
      <left style="thick">
        <color auto="1"/>
      </left>
      <right/>
      <top/>
      <bottom/>
      <diagonal/>
    </border>
    <border>
      <left/>
      <right/>
      <top/>
      <bottom style="thick">
        <color auto="1"/>
      </bottom>
      <diagonal/>
    </border>
    <border>
      <left style="thick">
        <color auto="1"/>
      </left>
      <right style="thick">
        <color auto="1"/>
      </right>
      <top/>
      <bottom/>
      <diagonal/>
    </border>
  </borders>
  <cellStyleXfs count="2">
    <xf numFmtId="0" fontId="0" fillId="0" borderId="0"/>
    <xf numFmtId="0" fontId="9" fillId="0" borderId="0" applyNumberFormat="0" applyFill="0" applyBorder="0" applyAlignment="0" applyProtection="0"/>
  </cellStyleXfs>
  <cellXfs count="112">
    <xf numFmtId="0" fontId="0" fillId="0" borderId="0" xfId="0"/>
    <xf numFmtId="0" fontId="0" fillId="0" borderId="0" xfId="0" applyAlignment="1">
      <alignment horizontal="center"/>
    </xf>
    <xf numFmtId="0" fontId="0" fillId="0" borderId="1" xfId="0" applyBorder="1"/>
    <xf numFmtId="2" fontId="0" fillId="0" borderId="1" xfId="0" applyNumberFormat="1" applyBorder="1"/>
    <xf numFmtId="0" fontId="2" fillId="0" borderId="1" xfId="0" applyFont="1" applyBorder="1" applyAlignment="1">
      <alignment horizontal="center"/>
    </xf>
    <xf numFmtId="0" fontId="2" fillId="0" borderId="1" xfId="0" applyFont="1" applyBorder="1"/>
    <xf numFmtId="0" fontId="1" fillId="0" borderId="1" xfId="0" applyFont="1" applyBorder="1"/>
    <xf numFmtId="2" fontId="0" fillId="0" borderId="0" xfId="0" applyNumberFormat="1"/>
    <xf numFmtId="164" fontId="0" fillId="0" borderId="1" xfId="0" applyNumberFormat="1" applyBorder="1"/>
    <xf numFmtId="0" fontId="3" fillId="2" borderId="1" xfId="0" applyFont="1" applyFill="1" applyBorder="1"/>
    <xf numFmtId="2" fontId="3" fillId="2" borderId="1" xfId="0" applyNumberFormat="1" applyFont="1" applyFill="1" applyBorder="1"/>
    <xf numFmtId="1" fontId="0" fillId="0" borderId="1" xfId="0" applyNumberFormat="1" applyBorder="1"/>
    <xf numFmtId="1" fontId="3" fillId="2" borderId="1" xfId="0" applyNumberFormat="1" applyFont="1" applyFill="1" applyBorder="1"/>
    <xf numFmtId="0" fontId="2" fillId="2" borderId="0" xfId="0" applyFont="1" applyFill="1" applyAlignment="1">
      <alignment horizontal="center"/>
    </xf>
    <xf numFmtId="0" fontId="2" fillId="2" borderId="1" xfId="0" applyFont="1" applyFill="1" applyBorder="1" applyAlignment="1">
      <alignment horizontal="center"/>
    </xf>
    <xf numFmtId="0" fontId="3" fillId="0" borderId="0" xfId="0" applyFont="1"/>
    <xf numFmtId="0" fontId="0" fillId="0" borderId="1" xfId="0" applyBorder="1" applyAlignment="1">
      <alignment horizontal="center"/>
    </xf>
    <xf numFmtId="0" fontId="1" fillId="0" borderId="1" xfId="0" applyFont="1" applyBorder="1" applyAlignment="1">
      <alignment horizontal="center"/>
    </xf>
    <xf numFmtId="0" fontId="0" fillId="0" borderId="2" xfId="0" applyBorder="1" applyAlignment="1">
      <alignment horizontal="center"/>
    </xf>
    <xf numFmtId="9" fontId="0" fillId="0" borderId="1" xfId="0" applyNumberFormat="1" applyBorder="1" applyAlignment="1">
      <alignment horizontal="center"/>
    </xf>
    <xf numFmtId="0" fontId="4" fillId="0" borderId="1" xfId="0" applyFont="1" applyBorder="1" applyAlignment="1">
      <alignment horizontal="left" indent="1"/>
    </xf>
    <xf numFmtId="0" fontId="1" fillId="0" borderId="0" xfId="0" applyFont="1"/>
    <xf numFmtId="0" fontId="5" fillId="0" borderId="1" xfId="0" applyFont="1" applyBorder="1"/>
    <xf numFmtId="165" fontId="0" fillId="0" borderId="1" xfId="0" applyNumberFormat="1" applyBorder="1"/>
    <xf numFmtId="164" fontId="2" fillId="2" borderId="1" xfId="0" applyNumberFormat="1" applyFont="1" applyFill="1" applyBorder="1" applyAlignment="1">
      <alignment horizontal="center"/>
    </xf>
    <xf numFmtId="0" fontId="2" fillId="2" borderId="1" xfId="0" applyFont="1" applyFill="1" applyBorder="1"/>
    <xf numFmtId="164" fontId="0" fillId="0" borderId="0" xfId="0" applyNumberFormat="1"/>
    <xf numFmtId="2" fontId="3" fillId="0" borderId="0" xfId="0" applyNumberFormat="1" applyFont="1"/>
    <xf numFmtId="0" fontId="1" fillId="0" borderId="0" xfId="0" applyFont="1" applyAlignment="1">
      <alignment horizontal="center"/>
    </xf>
    <xf numFmtId="1" fontId="0" fillId="0" borderId="0" xfId="0" applyNumberFormat="1"/>
    <xf numFmtId="1" fontId="3" fillId="0" borderId="0" xfId="0" applyNumberFormat="1" applyFont="1"/>
    <xf numFmtId="164" fontId="2" fillId="0" borderId="0" xfId="0" applyNumberFormat="1" applyFont="1" applyAlignment="1">
      <alignment horizontal="center"/>
    </xf>
    <xf numFmtId="0" fontId="2" fillId="0" borderId="0" xfId="0" applyFont="1"/>
    <xf numFmtId="0" fontId="6" fillId="0" borderId="1" xfId="0" applyFont="1" applyBorder="1"/>
    <xf numFmtId="0" fontId="2" fillId="0" borderId="0" xfId="0" applyFont="1" applyAlignment="1">
      <alignment horizontal="center"/>
    </xf>
    <xf numFmtId="0" fontId="2" fillId="2" borderId="1" xfId="0" applyFont="1" applyFill="1" applyBorder="1" applyAlignment="1">
      <alignment horizontal="left"/>
    </xf>
    <xf numFmtId="2" fontId="2" fillId="2" borderId="1" xfId="0" applyNumberFormat="1" applyFont="1" applyFill="1" applyBorder="1"/>
    <xf numFmtId="0" fontId="5" fillId="0" borderId="1" xfId="0" applyFont="1" applyBorder="1" applyAlignment="1">
      <alignment horizontal="left" indent="1"/>
    </xf>
    <xf numFmtId="9" fontId="0" fillId="0" borderId="0" xfId="0" applyNumberFormat="1"/>
    <xf numFmtId="0" fontId="4" fillId="4" borderId="1" xfId="0" applyFont="1" applyFill="1" applyBorder="1" applyAlignment="1">
      <alignment horizontal="left" indent="1"/>
    </xf>
    <xf numFmtId="165" fontId="0" fillId="0" borderId="0" xfId="0" applyNumberFormat="1"/>
    <xf numFmtId="166" fontId="0" fillId="0" borderId="1" xfId="0" applyNumberFormat="1" applyBorder="1"/>
    <xf numFmtId="2" fontId="2" fillId="2" borderId="1" xfId="0" applyNumberFormat="1" applyFont="1" applyFill="1" applyBorder="1" applyAlignment="1">
      <alignment horizontal="center"/>
    </xf>
    <xf numFmtId="0" fontId="0" fillId="2" borderId="0" xfId="0" applyFill="1"/>
    <xf numFmtId="2" fontId="2" fillId="6" borderId="1" xfId="0" applyNumberFormat="1" applyFont="1" applyFill="1" applyBorder="1" applyAlignment="1">
      <alignment horizontal="center"/>
    </xf>
    <xf numFmtId="164" fontId="2" fillId="6" borderId="1" xfId="0" applyNumberFormat="1" applyFont="1" applyFill="1" applyBorder="1" applyAlignment="1">
      <alignment horizontal="center"/>
    </xf>
    <xf numFmtId="0" fontId="2" fillId="7" borderId="1" xfId="0" applyFont="1" applyFill="1" applyBorder="1" applyAlignment="1">
      <alignment horizontal="center"/>
    </xf>
    <xf numFmtId="1" fontId="2" fillId="0" borderId="1" xfId="0" applyNumberFormat="1" applyFont="1" applyBorder="1" applyAlignment="1">
      <alignment horizontal="center"/>
    </xf>
    <xf numFmtId="0" fontId="2" fillId="5" borderId="8" xfId="0" applyFont="1" applyFill="1" applyBorder="1"/>
    <xf numFmtId="0" fontId="2" fillId="6" borderId="1" xfId="0" applyFont="1" applyFill="1" applyBorder="1" applyAlignment="1">
      <alignment horizontal="center"/>
    </xf>
    <xf numFmtId="1" fontId="2" fillId="2" borderId="1" xfId="0" applyNumberFormat="1" applyFont="1" applyFill="1" applyBorder="1" applyAlignment="1">
      <alignment horizontal="center"/>
    </xf>
    <xf numFmtId="0" fontId="2" fillId="0" borderId="3" xfId="0" applyFont="1" applyBorder="1" applyAlignment="1">
      <alignment horizontal="center"/>
    </xf>
    <xf numFmtId="0" fontId="2" fillId="0" borderId="2" xfId="0" applyFont="1" applyBorder="1" applyAlignment="1">
      <alignment horizontal="center"/>
    </xf>
    <xf numFmtId="0" fontId="2" fillId="0" borderId="2" xfId="0" applyFont="1" applyBorder="1"/>
    <xf numFmtId="1" fontId="0" fillId="0" borderId="1" xfId="0" applyNumberFormat="1" applyBorder="1" applyAlignment="1">
      <alignment horizontal="center"/>
    </xf>
    <xf numFmtId="2" fontId="0" fillId="0" borderId="1" xfId="0" applyNumberFormat="1" applyBorder="1" applyAlignment="1">
      <alignment horizontal="center"/>
    </xf>
    <xf numFmtId="164" fontId="0" fillId="0" borderId="1" xfId="0" applyNumberFormat="1" applyBorder="1" applyAlignment="1">
      <alignment horizontal="center"/>
    </xf>
    <xf numFmtId="164" fontId="0" fillId="6" borderId="1" xfId="0" applyNumberFormat="1" applyFill="1" applyBorder="1" applyAlignment="1">
      <alignment horizontal="center"/>
    </xf>
    <xf numFmtId="1" fontId="0" fillId="6" borderId="1" xfId="0" applyNumberFormat="1" applyFill="1" applyBorder="1" applyAlignment="1">
      <alignment horizontal="center"/>
    </xf>
    <xf numFmtId="0" fontId="2" fillId="8" borderId="1" xfId="0" applyFont="1" applyFill="1" applyBorder="1" applyAlignment="1">
      <alignment horizontal="center"/>
    </xf>
    <xf numFmtId="9" fontId="2" fillId="0" borderId="1" xfId="0" applyNumberFormat="1" applyFont="1" applyBorder="1" applyAlignment="1">
      <alignment horizontal="center"/>
    </xf>
    <xf numFmtId="2" fontId="0" fillId="6" borderId="1" xfId="0" applyNumberFormat="1" applyFill="1" applyBorder="1" applyAlignment="1">
      <alignment horizontal="center"/>
    </xf>
    <xf numFmtId="0" fontId="2" fillId="5" borderId="8" xfId="0" applyFont="1" applyFill="1" applyBorder="1" applyAlignment="1">
      <alignment horizontal="center"/>
    </xf>
    <xf numFmtId="9" fontId="2" fillId="0" borderId="3" xfId="0" applyNumberFormat="1" applyFont="1" applyBorder="1" applyAlignment="1">
      <alignment horizontal="center"/>
    </xf>
    <xf numFmtId="2" fontId="2" fillId="0" borderId="1" xfId="0" applyNumberFormat="1" applyFont="1" applyBorder="1" applyAlignment="1">
      <alignment horizontal="center"/>
    </xf>
    <xf numFmtId="164" fontId="2" fillId="0" borderId="1" xfId="0" applyNumberFormat="1" applyFont="1" applyBorder="1" applyAlignment="1">
      <alignment horizontal="center"/>
    </xf>
    <xf numFmtId="10" fontId="2" fillId="2" borderId="1" xfId="0" applyNumberFormat="1" applyFont="1" applyFill="1" applyBorder="1" applyAlignment="1">
      <alignment horizontal="center"/>
    </xf>
    <xf numFmtId="0" fontId="8" fillId="8" borderId="1" xfId="0" applyFont="1" applyFill="1" applyBorder="1" applyAlignment="1">
      <alignment horizontal="center"/>
    </xf>
    <xf numFmtId="0" fontId="2" fillId="9" borderId="1" xfId="0" applyFont="1" applyFill="1" applyBorder="1" applyAlignment="1">
      <alignment horizontal="center"/>
    </xf>
    <xf numFmtId="2" fontId="0" fillId="6" borderId="1" xfId="0" applyNumberFormat="1" applyFill="1" applyBorder="1"/>
    <xf numFmtId="3" fontId="0" fillId="0" borderId="0" xfId="0" applyNumberFormat="1"/>
    <xf numFmtId="0" fontId="9" fillId="0" borderId="0" xfId="1"/>
    <xf numFmtId="9" fontId="0" fillId="0" borderId="0" xfId="0" applyNumberFormat="1" applyAlignment="1">
      <alignment horizontal="center"/>
    </xf>
    <xf numFmtId="0" fontId="3" fillId="2" borderId="1" xfId="0" applyFont="1" applyFill="1" applyBorder="1" applyAlignment="1">
      <alignment wrapText="1"/>
    </xf>
    <xf numFmtId="0" fontId="0" fillId="0" borderId="1" xfId="0" applyBorder="1" applyAlignment="1">
      <alignment wrapText="1"/>
    </xf>
    <xf numFmtId="0" fontId="3" fillId="2" borderId="1" xfId="0" applyFont="1" applyFill="1" applyBorder="1" applyAlignment="1">
      <alignment horizontal="center" wrapText="1"/>
    </xf>
    <xf numFmtId="10" fontId="0" fillId="0" borderId="1" xfId="0" applyNumberFormat="1" applyBorder="1"/>
    <xf numFmtId="9" fontId="0" fillId="0" borderId="1" xfId="0" applyNumberFormat="1" applyBorder="1"/>
    <xf numFmtId="0" fontId="2" fillId="5" borderId="5" xfId="0" applyFont="1" applyFill="1" applyBorder="1" applyAlignment="1">
      <alignment vertical="top"/>
    </xf>
    <xf numFmtId="0" fontId="2" fillId="5" borderId="6" xfId="0" applyFont="1" applyFill="1" applyBorder="1" applyAlignment="1">
      <alignment vertical="top"/>
    </xf>
    <xf numFmtId="0" fontId="3" fillId="2" borderId="0" xfId="0" applyFont="1" applyFill="1"/>
    <xf numFmtId="0" fontId="10" fillId="0" borderId="0" xfId="0" applyFont="1" applyAlignment="1">
      <alignment vertical="center"/>
    </xf>
    <xf numFmtId="0" fontId="3" fillId="2" borderId="1" xfId="0" applyFont="1" applyFill="1" applyBorder="1" applyAlignment="1">
      <alignment horizontal="center"/>
    </xf>
    <xf numFmtId="1" fontId="2" fillId="9" borderId="1" xfId="0" applyNumberFormat="1" applyFont="1" applyFill="1" applyBorder="1" applyAlignment="1">
      <alignment horizontal="center"/>
    </xf>
    <xf numFmtId="10" fontId="0" fillId="0" borderId="0" xfId="0" applyNumberFormat="1"/>
    <xf numFmtId="0" fontId="0" fillId="5" borderId="1" xfId="0" applyFill="1" applyBorder="1" applyAlignment="1">
      <alignment horizontal="center"/>
    </xf>
    <xf numFmtId="2" fontId="0" fillId="5" borderId="1" xfId="0" applyNumberFormat="1" applyFill="1" applyBorder="1"/>
    <xf numFmtId="164" fontId="0" fillId="5" borderId="1" xfId="0" quotePrefix="1" applyNumberFormat="1" applyFill="1" applyBorder="1"/>
    <xf numFmtId="164" fontId="0" fillId="5" borderId="1" xfId="0" quotePrefix="1" applyNumberFormat="1" applyFill="1" applyBorder="1" applyAlignment="1">
      <alignment horizontal="right"/>
    </xf>
    <xf numFmtId="164" fontId="0" fillId="5" borderId="1" xfId="0" applyNumberFormat="1" applyFill="1" applyBorder="1"/>
    <xf numFmtId="0" fontId="2" fillId="0" borderId="9" xfId="0" applyFont="1" applyBorder="1" applyAlignment="1">
      <alignment horizontal="center"/>
    </xf>
    <xf numFmtId="0" fontId="0" fillId="6" borderId="0" xfId="0" applyFill="1"/>
    <xf numFmtId="2" fontId="0" fillId="6" borderId="0" xfId="0" applyNumberFormat="1" applyFill="1"/>
    <xf numFmtId="0" fontId="0" fillId="5" borderId="1" xfId="0" applyFill="1" applyBorder="1"/>
    <xf numFmtId="0" fontId="2" fillId="5" borderId="0" xfId="0" applyFont="1" applyFill="1" applyAlignment="1">
      <alignment horizontal="center"/>
    </xf>
    <xf numFmtId="0" fontId="3" fillId="3" borderId="1" xfId="0" applyFont="1" applyFill="1" applyBorder="1" applyAlignment="1">
      <alignment horizontal="center"/>
    </xf>
    <xf numFmtId="0" fontId="4" fillId="0" borderId="3" xfId="0" applyFont="1" applyBorder="1" applyAlignment="1">
      <alignment horizontal="left" indent="2"/>
    </xf>
    <xf numFmtId="0" fontId="4" fillId="0" borderId="4" xfId="0" applyFont="1" applyBorder="1" applyAlignment="1">
      <alignment horizontal="left" indent="2"/>
    </xf>
    <xf numFmtId="0" fontId="4" fillId="0" borderId="2" xfId="0" applyFont="1" applyBorder="1" applyAlignment="1">
      <alignment horizontal="left" indent="2"/>
    </xf>
    <xf numFmtId="9" fontId="0" fillId="0" borderId="3" xfId="0" applyNumberFormat="1" applyBorder="1" applyAlignment="1">
      <alignment horizontal="center"/>
    </xf>
    <xf numFmtId="9" fontId="0" fillId="0" borderId="4" xfId="0" applyNumberFormat="1" applyBorder="1" applyAlignment="1">
      <alignment horizontal="center"/>
    </xf>
    <xf numFmtId="9" fontId="0" fillId="0" borderId="2" xfId="0" applyNumberFormat="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5" borderId="7" xfId="0" applyFont="1" applyFill="1" applyBorder="1" applyAlignment="1">
      <alignment horizontal="center" vertical="top"/>
    </xf>
    <xf numFmtId="0" fontId="2" fillId="5" borderId="0" xfId="0" applyFont="1" applyFill="1" applyAlignment="1">
      <alignment horizontal="center" vertical="top"/>
    </xf>
    <xf numFmtId="0" fontId="2" fillId="0" borderId="3" xfId="0" applyFont="1" applyBorder="1" applyAlignment="1">
      <alignment horizontal="center"/>
    </xf>
    <xf numFmtId="0" fontId="2" fillId="0" borderId="4" xfId="0" applyFon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2" xfId="0" applyBorder="1" applyAlignment="1">
      <alignment horizontal="center"/>
    </xf>
    <xf numFmtId="0" fontId="2"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8BA-48B6-B368-84E6123A566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8BA-48B6-B368-84E6123A566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8BA-48B6-B368-84E6123A566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8BA-48B6-B368-84E6123A566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'Estimation of Revenue'!$AT$18:$AT$21</c:f>
              <c:strCache>
                <c:ptCount val="4"/>
                <c:pt idx="0">
                  <c:v>IT Exports</c:v>
                </c:pt>
                <c:pt idx="1">
                  <c:v>IT Domestic</c:v>
                </c:pt>
                <c:pt idx="2">
                  <c:v>ESDM</c:v>
                </c:pt>
                <c:pt idx="3">
                  <c:v>Startups</c:v>
                </c:pt>
              </c:strCache>
            </c:strRef>
          </c:cat>
          <c:val>
            <c:numRef>
              <c:f>'Estimation of Revenue'!$AU$18:$AU$21</c:f>
              <c:numCache>
                <c:formatCode>0</c:formatCode>
                <c:ptCount val="4"/>
                <c:pt idx="0">
                  <c:v>2247.9438738883637</c:v>
                </c:pt>
                <c:pt idx="1">
                  <c:v>685.67608407747741</c:v>
                </c:pt>
                <c:pt idx="2">
                  <c:v>738.58881301144925</c:v>
                </c:pt>
                <c:pt idx="3">
                  <c:v>594.05392330887776</c:v>
                </c:pt>
              </c:numCache>
            </c:numRef>
          </c:val>
          <c:extLst>
            <c:ext xmlns:c16="http://schemas.microsoft.com/office/drawing/2014/chart" uri="{C3380CC4-5D6E-409C-BE32-E72D297353CC}">
              <c16:uniqueId val="{00000000-8DC9-4D4F-9E04-9DF0BD46FD7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Sheet1!$D$4:$D$7</c:f>
              <c:strCache>
                <c:ptCount val="3"/>
                <c:pt idx="0">
                  <c:v>Revenue (In USD Bn)</c:v>
                </c:pt>
                <c:pt idx="1">
                  <c:v>Employment (In Millions)</c:v>
                </c:pt>
                <c:pt idx="2">
                  <c:v>Number of Unicorns</c:v>
                </c:pt>
              </c:strCache>
            </c:strRef>
          </c:cat>
          <c:val>
            <c:numRef>
              <c:f>Sheet1!$E$4:$E$7</c:f>
              <c:numCache>
                <c:formatCode>General</c:formatCode>
                <c:ptCount val="4"/>
                <c:pt idx="0">
                  <c:v>11</c:v>
                </c:pt>
                <c:pt idx="1">
                  <c:v>0.2</c:v>
                </c:pt>
                <c:pt idx="2">
                  <c:v>100</c:v>
                </c:pt>
              </c:numCache>
            </c:numRef>
          </c:val>
          <c:extLst>
            <c:ext xmlns:c16="http://schemas.microsoft.com/office/drawing/2014/chart" uri="{C3380CC4-5D6E-409C-BE32-E72D297353CC}">
              <c16:uniqueId val="{00000000-1EEF-4808-9E52-30D5E5B44A23}"/>
            </c:ext>
          </c:extLst>
        </c:ser>
        <c:dLbls>
          <c:showLegendKey val="0"/>
          <c:showVal val="0"/>
          <c:showCatName val="0"/>
          <c:showSerName val="0"/>
          <c:showPercent val="0"/>
          <c:showBubbleSize val="0"/>
        </c:dLbls>
        <c:gapWidth val="100"/>
        <c:axId val="1485573759"/>
        <c:axId val="1485579167"/>
      </c:barChart>
      <c:catAx>
        <c:axId val="148557375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85579167"/>
        <c:crosses val="autoZero"/>
        <c:auto val="1"/>
        <c:lblAlgn val="ctr"/>
        <c:lblOffset val="100"/>
        <c:noMultiLvlLbl val="0"/>
      </c:catAx>
      <c:valAx>
        <c:axId val="1485579167"/>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855737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Sheet1!$D$31:$D$32</c:f>
              <c:strCache>
                <c:ptCount val="2"/>
                <c:pt idx="0">
                  <c:v>Revenue (In USD Bn)</c:v>
                </c:pt>
                <c:pt idx="1">
                  <c:v>Employment (In Millions)</c:v>
                </c:pt>
              </c:strCache>
            </c:strRef>
          </c:cat>
          <c:val>
            <c:numRef>
              <c:f>Sheet1!$E$31:$E$32</c:f>
              <c:numCache>
                <c:formatCode>General</c:formatCode>
                <c:ptCount val="2"/>
                <c:pt idx="0">
                  <c:v>0.2</c:v>
                </c:pt>
                <c:pt idx="1">
                  <c:v>0.25</c:v>
                </c:pt>
              </c:numCache>
            </c:numRef>
          </c:val>
          <c:extLst>
            <c:ext xmlns:c16="http://schemas.microsoft.com/office/drawing/2014/chart" uri="{C3380CC4-5D6E-409C-BE32-E72D297353CC}">
              <c16:uniqueId val="{00000000-6D28-4ECA-B289-DE79D89CABF5}"/>
            </c:ext>
          </c:extLst>
        </c:ser>
        <c:dLbls>
          <c:dLblPos val="outEnd"/>
          <c:showLegendKey val="0"/>
          <c:showVal val="1"/>
          <c:showCatName val="0"/>
          <c:showSerName val="0"/>
          <c:showPercent val="0"/>
          <c:showBubbleSize val="0"/>
        </c:dLbls>
        <c:gapWidth val="267"/>
        <c:overlap val="-43"/>
        <c:axId val="335099759"/>
        <c:axId val="335100175"/>
      </c:barChart>
      <c:catAx>
        <c:axId val="33509975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335100175"/>
        <c:crosses val="autoZero"/>
        <c:auto val="1"/>
        <c:lblAlgn val="ctr"/>
        <c:lblOffset val="100"/>
        <c:noMultiLvlLbl val="0"/>
      </c:catAx>
      <c:valAx>
        <c:axId val="33510017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35099759"/>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Sheet2!$B$4</c:f>
              <c:strCache>
                <c:ptCount val="1"/>
                <c:pt idx="0">
                  <c:v>India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Sheet2!$C$3:$F$3</c:f>
              <c:strCache>
                <c:ptCount val="4"/>
                <c:pt idx="0">
                  <c:v>2021-22</c:v>
                </c:pt>
                <c:pt idx="1">
                  <c:v>2022-23</c:v>
                </c:pt>
                <c:pt idx="2">
                  <c:v>2026-27</c:v>
                </c:pt>
                <c:pt idx="3">
                  <c:v>2029-30</c:v>
                </c:pt>
              </c:strCache>
            </c:strRef>
          </c:cat>
          <c:val>
            <c:numRef>
              <c:f>Sheet2!$C$4:$F$4</c:f>
              <c:numCache>
                <c:formatCode>General</c:formatCode>
                <c:ptCount val="4"/>
                <c:pt idx="0">
                  <c:v>400</c:v>
                </c:pt>
                <c:pt idx="1">
                  <c:v>500</c:v>
                </c:pt>
                <c:pt idx="2">
                  <c:v>1000</c:v>
                </c:pt>
                <c:pt idx="3">
                  <c:v>3000</c:v>
                </c:pt>
              </c:numCache>
            </c:numRef>
          </c:val>
          <c:extLst>
            <c:ext xmlns:c16="http://schemas.microsoft.com/office/drawing/2014/chart" uri="{C3380CC4-5D6E-409C-BE32-E72D297353CC}">
              <c16:uniqueId val="{00000000-CD03-4513-864F-B0F9747501F2}"/>
            </c:ext>
          </c:extLst>
        </c:ser>
        <c:ser>
          <c:idx val="1"/>
          <c:order val="1"/>
          <c:tx>
            <c:strRef>
              <c:f>Sheet2!$B$5</c:f>
              <c:strCache>
                <c:ptCount val="1"/>
                <c:pt idx="0">
                  <c:v>Karnataka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Sheet2!$C$3:$F$3</c:f>
              <c:strCache>
                <c:ptCount val="4"/>
                <c:pt idx="0">
                  <c:v>2021-22</c:v>
                </c:pt>
                <c:pt idx="1">
                  <c:v>2022-23</c:v>
                </c:pt>
                <c:pt idx="2">
                  <c:v>2026-27</c:v>
                </c:pt>
                <c:pt idx="3">
                  <c:v>2029-30</c:v>
                </c:pt>
              </c:strCache>
            </c:strRef>
          </c:cat>
          <c:val>
            <c:numRef>
              <c:f>Sheet2!$C$5:$F$5</c:f>
              <c:numCache>
                <c:formatCode>General</c:formatCode>
                <c:ptCount val="4"/>
                <c:pt idx="0">
                  <c:v>110</c:v>
                </c:pt>
                <c:pt idx="1">
                  <c:v>130</c:v>
                </c:pt>
                <c:pt idx="2">
                  <c:v>250</c:v>
                </c:pt>
                <c:pt idx="3">
                  <c:v>500</c:v>
                </c:pt>
              </c:numCache>
            </c:numRef>
          </c:val>
          <c:extLst>
            <c:ext xmlns:c16="http://schemas.microsoft.com/office/drawing/2014/chart" uri="{C3380CC4-5D6E-409C-BE32-E72D297353CC}">
              <c16:uniqueId val="{00000001-CD03-4513-864F-B0F9747501F2}"/>
            </c:ext>
          </c:extLst>
        </c:ser>
        <c:dLbls>
          <c:dLblPos val="inEnd"/>
          <c:showLegendKey val="0"/>
          <c:showVal val="1"/>
          <c:showCatName val="0"/>
          <c:showSerName val="0"/>
          <c:showPercent val="0"/>
          <c:showBubbleSize val="0"/>
        </c:dLbls>
        <c:gapWidth val="100"/>
        <c:overlap val="-24"/>
        <c:axId val="1394596848"/>
        <c:axId val="1394597264"/>
      </c:barChart>
      <c:catAx>
        <c:axId val="139459684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94597264"/>
        <c:crosses val="autoZero"/>
        <c:auto val="1"/>
        <c:lblAlgn val="ctr"/>
        <c:lblOffset val="100"/>
        <c:noMultiLvlLbl val="0"/>
      </c:catAx>
      <c:valAx>
        <c:axId val="1394597264"/>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1394596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Goal 2026 for Startups in Karnataka</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Goal 2026 for Startups in Karnataka</a:t>
          </a:r>
        </a:p>
      </cx:txPr>
    </cx:title>
    <cx:plotArea>
      <cx:plotAreaRegion>
        <cx:series layoutId="funnel" uniqueId="{BEF85B0A-5BF4-41E9-9F77-72555CD6031A}">
          <cx:dataLabels>
            <cx:visibility seriesName="0" categoryName="0" value="1"/>
          </cx:dataLabels>
          <cx:dataId val="0"/>
        </cx:series>
      </cx:plotAreaRegion>
      <cx:axis id="0">
        <cx:catScaling gapWidth="0.150000006"/>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152832</xdr:colOff>
      <xdr:row>42</xdr:row>
      <xdr:rowOff>92647</xdr:rowOff>
    </xdr:from>
    <xdr:to>
      <xdr:col>12</xdr:col>
      <xdr:colOff>1160347</xdr:colOff>
      <xdr:row>52</xdr:row>
      <xdr:rowOff>73025</xdr:rowOff>
    </xdr:to>
    <xdr:pic>
      <xdr:nvPicPr>
        <xdr:cNvPr id="2" name="Picture 1">
          <a:extLst>
            <a:ext uri="{FF2B5EF4-FFF2-40B4-BE49-F238E27FC236}">
              <a16:creationId xmlns:a16="http://schemas.microsoft.com/office/drawing/2014/main" id="{037E7A6C-839F-4BFA-A0EB-B9098F40B499}"/>
            </a:ext>
          </a:extLst>
        </xdr:cNvPr>
        <xdr:cNvPicPr>
          <a:picLocks noChangeAspect="1"/>
        </xdr:cNvPicPr>
      </xdr:nvPicPr>
      <xdr:blipFill>
        <a:blip xmlns:r="http://schemas.openxmlformats.org/officeDocument/2006/relationships" r:embed="rId1"/>
        <a:stretch>
          <a:fillRect/>
        </a:stretch>
      </xdr:blipFill>
      <xdr:spPr>
        <a:xfrm>
          <a:off x="8477682" y="8788972"/>
          <a:ext cx="7231150" cy="1971103"/>
        </a:xfrm>
        <a:prstGeom prst="rect">
          <a:avLst/>
        </a:prstGeom>
      </xdr:spPr>
    </xdr:pic>
    <xdr:clientData/>
  </xdr:twoCellAnchor>
  <xdr:twoCellAnchor>
    <xdr:from>
      <xdr:col>44</xdr:col>
      <xdr:colOff>464820</xdr:colOff>
      <xdr:row>5</xdr:row>
      <xdr:rowOff>106680</xdr:rowOff>
    </xdr:from>
    <xdr:to>
      <xdr:col>52</xdr:col>
      <xdr:colOff>160020</xdr:colOff>
      <xdr:row>19</xdr:row>
      <xdr:rowOff>30480</xdr:rowOff>
    </xdr:to>
    <xdr:graphicFrame macro="">
      <xdr:nvGraphicFramePr>
        <xdr:cNvPr id="3" name="Chart 2">
          <a:extLst>
            <a:ext uri="{FF2B5EF4-FFF2-40B4-BE49-F238E27FC236}">
              <a16:creationId xmlns:a16="http://schemas.microsoft.com/office/drawing/2014/main" id="{FA802163-C826-C7F1-9BEE-EEDA179021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552451</xdr:colOff>
      <xdr:row>25</xdr:row>
      <xdr:rowOff>170833</xdr:rowOff>
    </xdr:from>
    <xdr:to>
      <xdr:col>4</xdr:col>
      <xdr:colOff>25401</xdr:colOff>
      <xdr:row>38</xdr:row>
      <xdr:rowOff>164559</xdr:rowOff>
    </xdr:to>
    <xdr:pic>
      <xdr:nvPicPr>
        <xdr:cNvPr id="2" name="Picture 1">
          <a:extLst>
            <a:ext uri="{FF2B5EF4-FFF2-40B4-BE49-F238E27FC236}">
              <a16:creationId xmlns:a16="http://schemas.microsoft.com/office/drawing/2014/main" id="{99960AC0-29D8-4B5D-B4D6-DA5C5F42C433}"/>
            </a:ext>
          </a:extLst>
        </xdr:cNvPr>
        <xdr:cNvPicPr>
          <a:picLocks noChangeAspect="1"/>
        </xdr:cNvPicPr>
      </xdr:nvPicPr>
      <xdr:blipFill>
        <a:blip xmlns:r="http://schemas.openxmlformats.org/officeDocument/2006/relationships" r:embed="rId1"/>
        <a:stretch>
          <a:fillRect/>
        </a:stretch>
      </xdr:blipFill>
      <xdr:spPr>
        <a:xfrm>
          <a:off x="552451" y="3876058"/>
          <a:ext cx="5724525" cy="23432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17</xdr:col>
      <xdr:colOff>382905</xdr:colOff>
      <xdr:row>2</xdr:row>
      <xdr:rowOff>124777</xdr:rowOff>
    </xdr:from>
    <xdr:to>
      <xdr:col>25</xdr:col>
      <xdr:colOff>78105</xdr:colOff>
      <xdr:row>17</xdr:row>
      <xdr:rowOff>153352</xdr:rowOff>
    </xdr:to>
    <xdr:graphicFrame macro="">
      <xdr:nvGraphicFramePr>
        <xdr:cNvPr id="2" name="Chart 1">
          <a:extLst>
            <a:ext uri="{FF2B5EF4-FFF2-40B4-BE49-F238E27FC236}">
              <a16:creationId xmlns:a16="http://schemas.microsoft.com/office/drawing/2014/main" id="{F3239637-EA23-3B84-B1C4-BF33D506B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161925</xdr:colOff>
      <xdr:row>11</xdr:row>
      <xdr:rowOff>176212</xdr:rowOff>
    </xdr:from>
    <xdr:to>
      <xdr:col>16</xdr:col>
      <xdr:colOff>466725</xdr:colOff>
      <xdr:row>27</xdr:row>
      <xdr:rowOff>23812</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43618CF9-7988-813B-8DB6-12233F70DD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631305" y="2187892"/>
              <a:ext cx="4572000" cy="27736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161925</xdr:colOff>
      <xdr:row>11</xdr:row>
      <xdr:rowOff>176212</xdr:rowOff>
    </xdr:from>
    <xdr:to>
      <xdr:col>16</xdr:col>
      <xdr:colOff>466725</xdr:colOff>
      <xdr:row>27</xdr:row>
      <xdr:rowOff>23812</xdr:rowOff>
    </xdr:to>
    <xdr:graphicFrame macro="">
      <xdr:nvGraphicFramePr>
        <xdr:cNvPr id="5" name="Chart 4">
          <a:extLst>
            <a:ext uri="{FF2B5EF4-FFF2-40B4-BE49-F238E27FC236}">
              <a16:creationId xmlns:a16="http://schemas.microsoft.com/office/drawing/2014/main" id="{E67429E1-3757-49A1-C921-98A2B862A4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533400</xdr:colOff>
      <xdr:row>6</xdr:row>
      <xdr:rowOff>83820</xdr:rowOff>
    </xdr:from>
    <xdr:to>
      <xdr:col>15</xdr:col>
      <xdr:colOff>228600</xdr:colOff>
      <xdr:row>21</xdr:row>
      <xdr:rowOff>83820</xdr:rowOff>
    </xdr:to>
    <xdr:graphicFrame macro="">
      <xdr:nvGraphicFramePr>
        <xdr:cNvPr id="2" name="Chart 1">
          <a:extLst>
            <a:ext uri="{FF2B5EF4-FFF2-40B4-BE49-F238E27FC236}">
              <a16:creationId xmlns:a16="http://schemas.microsoft.com/office/drawing/2014/main" id="{010EE2F1-9149-DD15-9E36-F52AFB1CDC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21498</xdr:colOff>
      <xdr:row>22</xdr:row>
      <xdr:rowOff>196850</xdr:rowOff>
    </xdr:from>
    <xdr:to>
      <xdr:col>5</xdr:col>
      <xdr:colOff>1274983</xdr:colOff>
      <xdr:row>43</xdr:row>
      <xdr:rowOff>78600</xdr:rowOff>
    </xdr:to>
    <xdr:pic>
      <xdr:nvPicPr>
        <xdr:cNvPr id="2" name="Picture 1">
          <a:extLst>
            <a:ext uri="{FF2B5EF4-FFF2-40B4-BE49-F238E27FC236}">
              <a16:creationId xmlns:a16="http://schemas.microsoft.com/office/drawing/2014/main" id="{9D05A7D3-911E-427C-95CA-F8E0F973C03F}"/>
            </a:ext>
          </a:extLst>
        </xdr:cNvPr>
        <xdr:cNvPicPr>
          <a:picLocks noChangeAspect="1"/>
        </xdr:cNvPicPr>
      </xdr:nvPicPr>
      <xdr:blipFill>
        <a:blip xmlns:r="http://schemas.openxmlformats.org/officeDocument/2006/relationships" r:embed="rId1"/>
        <a:stretch>
          <a:fillRect/>
        </a:stretch>
      </xdr:blipFill>
      <xdr:spPr>
        <a:xfrm>
          <a:off x="1240698" y="4730750"/>
          <a:ext cx="7225660" cy="41013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31750</xdr:colOff>
      <xdr:row>36</xdr:row>
      <xdr:rowOff>20997</xdr:rowOff>
    </xdr:from>
    <xdr:to>
      <xdr:col>7</xdr:col>
      <xdr:colOff>163621</xdr:colOff>
      <xdr:row>40</xdr:row>
      <xdr:rowOff>104599</xdr:rowOff>
    </xdr:to>
    <xdr:pic>
      <xdr:nvPicPr>
        <xdr:cNvPr id="3" name="Picture 2">
          <a:extLst>
            <a:ext uri="{FF2B5EF4-FFF2-40B4-BE49-F238E27FC236}">
              <a16:creationId xmlns:a16="http://schemas.microsoft.com/office/drawing/2014/main" id="{E84417C5-4829-4EE1-AB80-D4A1E90AC952}"/>
            </a:ext>
          </a:extLst>
        </xdr:cNvPr>
        <xdr:cNvPicPr>
          <a:picLocks noChangeAspect="1"/>
        </xdr:cNvPicPr>
      </xdr:nvPicPr>
      <xdr:blipFill>
        <a:blip xmlns:r="http://schemas.openxmlformats.org/officeDocument/2006/relationships" r:embed="rId1"/>
        <a:stretch>
          <a:fillRect/>
        </a:stretch>
      </xdr:blipFill>
      <xdr:spPr>
        <a:xfrm>
          <a:off x="1250950" y="6650397"/>
          <a:ext cx="6983521" cy="82655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47624</xdr:colOff>
      <xdr:row>4</xdr:row>
      <xdr:rowOff>150978</xdr:rowOff>
    </xdr:from>
    <xdr:to>
      <xdr:col>19</xdr:col>
      <xdr:colOff>549275</xdr:colOff>
      <xdr:row>21</xdr:row>
      <xdr:rowOff>84188</xdr:rowOff>
    </xdr:to>
    <xdr:pic>
      <xdr:nvPicPr>
        <xdr:cNvPr id="2" name="Picture 1">
          <a:extLst>
            <a:ext uri="{FF2B5EF4-FFF2-40B4-BE49-F238E27FC236}">
              <a16:creationId xmlns:a16="http://schemas.microsoft.com/office/drawing/2014/main" id="{79ECAA8C-5F6E-4E5D-B030-EA5AE4366A37}"/>
            </a:ext>
          </a:extLst>
        </xdr:cNvPr>
        <xdr:cNvPicPr>
          <a:picLocks noChangeAspect="1"/>
        </xdr:cNvPicPr>
      </xdr:nvPicPr>
      <xdr:blipFill>
        <a:blip xmlns:r="http://schemas.openxmlformats.org/officeDocument/2006/relationships" r:embed="rId1"/>
        <a:stretch>
          <a:fillRect/>
        </a:stretch>
      </xdr:blipFill>
      <xdr:spPr>
        <a:xfrm>
          <a:off x="7429499" y="874878"/>
          <a:ext cx="5378451" cy="301296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andish, Nikhil" id="{CA9FF493-EE46-4EBE-98EF-A0B3D72B9735}" userId="S::nikhilnandish@kpmg.com::c4de0326-c1a0-4c3f-9223-4e84c94f64f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 dT="2022-06-23T05:18:04.09" personId="{CA9FF493-EE46-4EBE-98EF-A0B3D72B9735}" id="{C1C00428-5E03-4C43-B800-EE4B9B4656EE}">
    <text>As per Indian Express article, Indian software exports in the current financial year are estimated to be worth $170 billion USD with Karnataka contributing an estimated 38 per cent</text>
  </threadedComment>
  <threadedComment ref="C6" dT="2022-06-23T06:16:45.37" personId="{CA9FF493-EE46-4EBE-98EF-A0B3D72B9735}" id="{63CB5C51-F4EB-4075-AE94-C5E9A885146E}">
    <text>ESDM and Startups based on Mr. Mohandas Pai discussions</text>
  </threadedComment>
  <threadedComment ref="C7" dT="2022-08-08T09:18:21.75" personId="{CA9FF493-EE46-4EBE-98EF-A0B3D72B9735}" id="{D54A46C6-B7B9-4A94-938A-BB49CDFC1221}">
    <text>~14000 startups in Karnataka out of a total of  ~73,000 startups in India, we arrive at ~20%</text>
  </threadedComment>
  <threadedComment ref="C10" dT="2022-06-23T05:20:18.49" personId="{CA9FF493-EE46-4EBE-98EF-A0B3D72B9735}" id="{32FD345F-75A8-404B-AC52-719CB1FF4116}">
    <text>Based on Beyond Bengaluru Report 2020 estimation figures for both IT exports and IT domestic in Total</text>
  </threadedComment>
  <threadedComment ref="C12" dT="2022-06-23T06:16:18.60" personId="{CA9FF493-EE46-4EBE-98EF-A0B3D72B9735}" id="{5C786071-0A50-4B6B-B51A-3D5126356234}">
    <text>ESDM and Startups based on Mr. Mohandas Pai discussions</text>
  </threadedComment>
  <threadedComment ref="C22" dT="2022-05-17T09:55:05.29" personId="{CA9FF493-EE46-4EBE-98EF-A0B3D72B9735}" id="{F6712713-B6EC-43BF-8036-B0A627386C92}">
    <text>Karnataka revenue share considered at 20% of India value</text>
  </threadedComment>
  <threadedComment ref="D27" dT="2022-06-24T05:52:53.87" personId="{CA9FF493-EE46-4EBE-98EF-A0B3D72B9735}" id="{E639BDAC-4219-42C3-9917-0BD6F960D9DB}">
    <text>Assumptions of percentages based on the BCG estimation for Karnataka based on 19 themes as prepared by BCG (Followed MeitY report for reference)</text>
  </threadedComment>
  <threadedComment ref="G27" dT="2022-06-23T13:00:48.79" personId="{CA9FF493-EE46-4EBE-98EF-A0B3D72B9735}" id="{A356A7C0-A0E5-47AE-9993-8CBB3DC8C150}">
    <text>Assumed at a consistent rate of 15% (Average of all the 17 sub sectors considered for estimation)</text>
  </threadedComment>
  <threadedComment ref="H27" dT="2022-06-24T05:27:47.38" personId="{CA9FF493-EE46-4EBE-98EF-A0B3D72B9735}" id="{C21ED08A-6DB0-4E19-83A6-389493EF6B05}">
    <text>Assumed at a consistent growth rate of 10% till the year 2030</text>
  </threadedComment>
</ThreadedComments>
</file>

<file path=xl/threadedComments/threadedComment2.xml><?xml version="1.0" encoding="utf-8"?>
<ThreadedComments xmlns="http://schemas.microsoft.com/office/spreadsheetml/2018/threadedcomments" xmlns:x="http://schemas.openxmlformats.org/spreadsheetml/2006/main">
  <threadedComment ref="B6" dT="2022-06-23T12:30:41.78" personId="{CA9FF493-EE46-4EBE-98EF-A0B3D72B9735}" id="{F88FEF51-DB79-47DB-9D15-A418837611E1}">
    <text>All the 4 sub sectors for digital economy including IT Exports, IT Domestic, ESDM and Startups have been considered based on the estimation base figures given by Mr. Mohandas Pai and we have calculated the figures for the rest of the tenure accordingly based on growth rates</text>
  </threadedComment>
  <threadedComment ref="B7" dT="2022-05-12T08:50:08.03" personId="{CA9FF493-EE46-4EBE-98EF-A0B3D72B9735}" id="{F218B7E6-6423-463B-91C9-56CA6ADD5B6E}">
    <text>As per a press release by Ministry of Commerce and Industry - Total Services Exports during current FY go past $ 226 Billion (Assuming 50% of the total services exports comprise of IT exports - we arrive at $113 Bn)           In another article published by economic times - Piyush Goyal has stated that targeting ~$ 650 Bn of exports in this financial year (400 Bn would be merchandise exports and $250 Bn would be service exports - 50% would be $ 125 Bn)    Additionally in economics times article, according to RBI, software services exports went up to $ 148.3 Bn in the year 2020-21 (2.1% increase)</text>
  </threadedComment>
  <threadedComment ref="D7" dT="2022-05-12T09:03:01.19" personId="{CA9FF493-EE46-4EBE-98EF-A0B3D72B9735}" id="{4B537AA3-C374-4978-B898-0B1FA0CC3296}">
    <text>Assuming 12% increase over 2020-21 data for IT exports, we arrive at ~ $ 165 Bn                                                       Additionally as per Indian Express article dated March 6th 2022, Indian software exports in the current financial year are estimated to be worth $170 billion USD with Karnataka contributing an estimated 38 per cent **Additionally considering net exports of ~$110 Bn and Remittances of ~85 Bn (Having total current service exports of ~258 Bn and the balance would be "Others"</text>
  </threadedComment>
  <threadedComment ref="E7" dT="2022-05-12T09:12:50.67" personId="{CA9FF493-EE46-4EBE-98EF-A0B3D72B9735}" id="{FE98A1CE-6BFB-4C49-A771-AA7473A0169C}">
    <text>As per Indian Express article, Indian software exports in the current financial year are estimated to be worth $170 billion USD with Karnataka contributing an estimated 38 per cent</text>
  </threadedComment>
  <threadedComment ref="G7" dT="2022-05-26T05:46:46.73" personId="{CA9FF493-EE46-4EBE-98EF-A0B3D72B9735}" id="{DE3F6258-425F-4F05-825C-097495E35F80}">
    <text>IT exports and IT domestic considered together based on Beyond Bengaluru Report 2020</text>
  </threadedComment>
  <threadedComment ref="P7" dT="2022-05-26T05:50:01.47" personId="{CA9FF493-EE46-4EBE-98EF-A0B3D72B9735}" id="{DB4AD0FA-B964-43AE-B51F-1F92DB9F8464}">
    <text>IT exports and IT domestic considered together</text>
  </threadedComment>
  <threadedComment ref="AK7" dT="2022-05-26T05:57:13.36" personId="{CA9FF493-EE46-4EBE-98EF-A0B3D72B9735}" id="{1E013AB5-0896-4CB9-94D8-DF0345BE1E52}">
    <text>Assumed to reach ~10 Bn USD as per Beyond Bengaluru Report)</text>
  </threadedComment>
  <threadedComment ref="B8" dT="2022-05-12T10:09:58.82" personId="{CA9FF493-EE46-4EBE-98EF-A0B3D72B9735}" id="{3FFF9E49-3428-4519-8894-6C44BBC0C129}">
    <text>Assuming $ 227 Bn of Total Revenue during the year 22, IT Domestic would be total minus the IT Exports which would arrive at ~57 Bn                                 Referred IBEF report and Business standard article)</text>
  </threadedComment>
  <threadedComment ref="D8" dT="2022-06-23T06:03:22.10" personId="{CA9FF493-EE46-4EBE-98EF-A0B3D72B9735}" id="{23295D90-2646-4254-8CC4-CE2194189F6F}">
    <text>Assuming $ 227 Bn of Total Revenue during the year 22, IT Domestic would be total minus the IT Exports which would arrive at ~57 Bn (We have considered at $ 57 Bn)                                 Referred IBEF report and Business standard article)</text>
  </threadedComment>
  <threadedComment ref="B9" dT="2022-05-12T10:03:19.34" personId="{CA9FF493-EE46-4EBE-98EF-A0B3D72B9735}" id="{A3225BA9-ACAE-4AD4-AC45-0B42F5CE5D3D}">
    <text>As per ICEA estimates</text>
  </threadedComment>
  <threadedComment ref="C9" dT="2022-05-12T07:06:41.16" personId="{CA9FF493-EE46-4EBE-98EF-A0B3D72B9735}" id="{DFB7FFCF-CD36-4C6D-9817-065C174A2C3C}">
    <text>To refer Tab "ESDM Sector" for breakup</text>
  </threadedComment>
  <threadedComment ref="D9" dT="2022-05-10T10:19:03.32" personId="{CA9FF493-EE46-4EBE-98EF-A0B3D72B9735}" id="{8DDFDD9F-BF29-481D-809A-679A2CC14612}">
    <text>As per ICEA estimates</text>
  </threadedComment>
  <threadedComment ref="N9" dT="2022-05-11T05:08:03.81" personId="{CA9FF493-EE46-4EBE-98EF-A0B3D72B9735}" id="{E091FBD9-7081-4CBD-A788-983BA7D2C691}">
    <text>Number based on ICEA projections</text>
  </threadedComment>
  <threadedComment ref="Q9" dT="2022-05-11T05:11:22.88" personId="{CA9FF493-EE46-4EBE-98EF-A0B3D72B9735}" id="{BF5B01AB-D4D9-4215-9024-866273B2B01B}">
    <text>Number based on ICEA projections</text>
  </threadedComment>
  <threadedComment ref="T9" dT="2022-05-11T05:11:29.40" personId="{CA9FF493-EE46-4EBE-98EF-A0B3D72B9735}" id="{52AAB617-4EDC-4018-AFEC-3A47CAB1E5DC}">
    <text>Number based on ICEA projections</text>
  </threadedComment>
  <threadedComment ref="W9" dT="2022-05-11T05:11:56.80" personId="{CA9FF493-EE46-4EBE-98EF-A0B3D72B9735}" id="{87E82FF5-7873-46EF-8409-F4B005D75DD3}">
    <text>Number based on ICEA projections and also an estimate as per IBEF, it states that the National Policy on Electronics (NPE 2019) aims to facilitate a turnover of US$ 400 billion in domestic manufacturing by 2025
https://www.ibef.org/industry/electronics-system-design-manufacturing-esdm</text>
  </threadedComment>
  <threadedComment ref="B10" dT="2022-05-12T10:05:41.96" personId="{CA9FF493-EE46-4EBE-98EF-A0B3D72B9735}" id="{1B07C5FF-D4EF-47AF-9346-24C0CA6FE3B9}">
    <text>As per Inc 42 report on financial performance of startups considering ~$ 7.2 Bn in FY 20</text>
  </threadedComment>
  <threadedComment ref="D10" dT="2022-06-23T05:29:50.42" personId="{CA9FF493-EE46-4EBE-98EF-A0B3D72B9735}" id="{A4E95D6B-0B14-42B7-A01D-4B080CE45047}">
    <text>As per Inc 42 report on financial performance of startups considering ~$ 7.2 Bn in FY 20. Based on Mr. Pai's guidance, we have considered it at ~10 Bn</text>
  </threadedComment>
  <threadedComment ref="B11" dT="2022-05-10T09:55:10.26" personId="{CA9FF493-EE46-4EBE-98EF-A0B3D72B9735}" id="{04146031-33C5-4F3C-A752-D935008BD4AD}">
    <text>Assumptions for the sub sectors based on McKinsey Global Institute Digital India Report for India level (Page 110) - MeitY Report and                                      and the assumptions based on the BCG estimation for Karnataka based on 19 themes as prepared by BCG (Followed MeitY report for reference)</text>
  </threadedComment>
  <threadedComment ref="E11" dT="2022-06-23T12:25:34.95" personId="{CA9FF493-EE46-4EBE-98EF-A0B3D72B9735}" id="{A6C19791-3817-4422-8EC7-6C23393FF54F}">
    <text>CAGR estimation done for Karnataka to reach the targets as set in by BCG estimation for Karnataka based on 19 themes as prepared by BCG (Followed MeitY report for reference)</text>
  </threadedComment>
  <threadedComment ref="D12" dT="2022-06-22T09:20:43.34" personId="{CA9FF493-EE46-4EBE-98EF-A0B3D72B9735}" id="{F6E7E2F1-13E7-450F-9615-95E69D9FD473}">
    <text>Base value considered at ~22Bn https://www.statista.com/outlook/tmo/communication-services/india</text>
  </threadedComment>
  <threadedComment ref="E12" dT="2022-06-22T09:45:43.94" personId="{CA9FF493-EE46-4EBE-98EF-A0B3D72B9735}" id="{EDD98492-B6F3-4FB9-88E0-EC918445EEEA}">
    <text>Assuming 6.5% users are in Karnataka</text>
  </threadedComment>
  <threadedComment ref="N12" dT="2022-06-22T09:27:44.36" personId="{CA9FF493-EE46-4EBE-98EF-A0B3D72B9735}" id="{8268B101-5C0B-4122-BBFF-3F34CE9C48B8}">
    <text>Assumed at CAGR of 17.72% to reach 52 Bn by the year 2025</text>
  </threadedComment>
  <threadedComment ref="O12" dT="2022-06-22T09:32:35.95" personId="{CA9FF493-EE46-4EBE-98EF-A0B3D72B9735}" id="{512E829F-25D8-4FF4-BDA5-0AED44968E90}">
    <text>Assumed at CAGR of 23.59% to reach 3.5 Bn by 2025</text>
  </threadedComment>
  <threadedComment ref="W12" dT="2022-06-23T12:42:19.59" personId="{CA9FF493-EE46-4EBE-98EF-A0B3D72B9735}" id="{C81079B8-B03C-4050-A222-14EF20ED006C}">
    <text>These figures for India and Karnataka for all the other sub sectors have been worked out to match the assumptions based on the BCG estimation for Karnataka based on 19 themes as prepared by BCG (Followed MeitY report for reference)</text>
  </threadedComment>
  <threadedComment ref="D13" dT="2022-06-22T10:14:26.52" personId="{CA9FF493-EE46-4EBE-98EF-A0B3D72B9735}" id="{91E9A600-4B88-496E-8797-4AFA8B762920}">
    <text>Amount for calculation considered as per news article - https://timesofindia.indiatimes.com/business/india-business/govt-e-marketplace-sees-fy22-turnover-top-rs-1-lakh-crore/articleshow/90430548.cmshttps://economictimes.indiatimes.com/news/india/government-e-market-portal-eyes-rs-1-5-lakh-crore-worth-of-procurement-in-2022-23/articleshow/90425958.cms?from=mdrhttps://www.livemint.com/news/india/gem-eyes-rs-1-trillion-orders-in-fy22-11615386642152.html</text>
  </threadedComment>
  <threadedComment ref="E13" dT="2022-06-22T10:15:50.05" personId="{CA9FF493-EE46-4EBE-98EF-A0B3D72B9735}" id="{36E18C87-0935-4DEC-A433-9BEACD06EC78}">
    <text>Assumed at 10% efficiency gain for State</text>
  </threadedComment>
  <threadedComment ref="N13" dT="2022-06-22T10:20:33.27" personId="{CA9FF493-EE46-4EBE-98EF-A0B3D72B9735}" id="{6B4CD208-AD80-4CAB-9A58-07523A895D29}">
    <text>Assumed CAGR of 17.76% till 2025</text>
  </threadedComment>
  <threadedComment ref="O13" dT="2022-06-22T10:21:13.63" personId="{CA9FF493-EE46-4EBE-98EF-A0B3D72B9735}" id="{7E5DD62E-06AC-4402-9BFF-21821D5A4B2E}">
    <text>Assumed CAGR of 18.80%</text>
  </threadedComment>
  <threadedComment ref="D14" dT="2022-06-22T10:37:11.45" personId="{CA9FF493-EE46-4EBE-98EF-A0B3D72B9735}" id="{C4CAC289-F4C3-4F19-924E-7786AF09D1E8}">
    <text>Assumed based on Press information bureau and calculated for 21-22 at CAGR of 21% and continued the same CAGR till the year 2025 Also mentioned as 5 in Mckinsey report (Page 18) as per 2019 https://pib.gov.in/Pressreleaseshare.aspx?PRID=1616022</text>
  </threadedComment>
  <threadedComment ref="E14" dT="2022-06-22T10:38:01.48" personId="{CA9FF493-EE46-4EBE-98EF-A0B3D72B9735}" id="{09EA7C11-B870-42B4-8F0F-2987A11D7AA3}">
    <text>Assumed at 15% efficiency gain for State</text>
  </threadedComment>
  <threadedComment ref="E15" dT="2022-06-22T11:27:58.93" personId="{CA9FF493-EE46-4EBE-98EF-A0B3D72B9735}" id="{B2C8C2A7-0177-4111-AFFD-A3B077758DCC}">
    <text>Assumed at 8% share as per State's GDP contribution</text>
  </threadedComment>
  <threadedComment ref="D21" dT="2022-06-23T12:16:01.52" personId="{CA9FF493-EE46-4EBE-98EF-A0B3D72B9735}" id="{A1EA94A4-DD75-4A05-804E-38C940DDBA81}">
    <text>The assumptions are based on ~1Bn at current figures</text>
  </threadedComment>
  <threadedComment ref="D22" dT="2022-06-23T12:16:12.88" personId="{CA9FF493-EE46-4EBE-98EF-A0B3D72B9735}" id="{96879DCB-8232-4F53-B96F-2F74F4A5EB80}">
    <text>The assumptions are based on ~1Bn at current figures</text>
  </threadedComment>
  <threadedComment ref="D23" dT="2022-06-23T12:16:20.02" personId="{CA9FF493-EE46-4EBE-98EF-A0B3D72B9735}" id="{5F5DA3E4-6A04-46F7-835C-5FF6FD4BA4CD}">
    <text>The assumptions are based on ~1Bn at current figures</text>
  </threadedComment>
  <threadedComment ref="D24" dT="2022-06-23T12:16:26.70" personId="{CA9FF493-EE46-4EBE-98EF-A0B3D72B9735}" id="{934AFC6D-E02D-45F9-8E13-84C84591B962}">
    <text>The assumptions are based on ~1Bn at current figures</text>
  </threadedComment>
  <threadedComment ref="D25" dT="2022-06-23T12:17:57.23" personId="{CA9FF493-EE46-4EBE-98EF-A0B3D72B9735}" id="{D764AB11-C9CA-4813-8F4E-D228FECF70DF}">
    <text>The assumptions are based on ~1Bn at current figures</text>
  </threadedComment>
  <threadedComment ref="D26" dT="2022-06-23T12:18:03.65" personId="{CA9FF493-EE46-4EBE-98EF-A0B3D72B9735}" id="{6BE57AB1-41AD-4747-80FB-B2140E8F9A80}">
    <text>The assumptions are based on ~1Bn at current figures</text>
  </threadedComment>
  <threadedComment ref="D27" dT="2022-06-23T12:18:08.96" personId="{CA9FF493-EE46-4EBE-98EF-A0B3D72B9735}" id="{B0777845-EB2B-49F3-A993-72509497D2DE}">
    <text>The assumptions are based on ~1Bn at current figures</text>
  </threadedComment>
  <threadedComment ref="D28" dT="2022-06-23T12:18:14.20" personId="{CA9FF493-EE46-4EBE-98EF-A0B3D72B9735}" id="{DA6F0685-FEFD-4EEE-AB73-3219F7BF648C}">
    <text>The assumptions are based on ~1Bn at current figures</text>
  </threadedComment>
  <threadedComment ref="B35" dT="2022-05-17T10:10:39.55" personId="{CA9FF493-EE46-4EBE-98EF-A0B3D72B9735}" id="{652D8F07-5EED-4102-A49C-CF7118419FA9}">
    <text>Reference: Based on Mr. Mohandas Pai discussion                        Additional validation https://www.meity.gov.in/content/employment 
Additional Reference https://trak.in/tags/business/2022/02/17/indian-it-sector-now-has-50-lakh-employees-becomes-1-employer-in-india/</text>
  </threadedComment>
  <threadedComment ref="B36" dT="2022-06-30T11:45:30.56" personId="{CA9FF493-EE46-4EBE-98EF-A0B3D72B9735}" id="{05155531-18BC-4E86-8391-FC73A024D9BF}">
    <text>Considering 20% of exports value of 50,00,000</text>
  </threadedComment>
  <threadedComment ref="I37" dT="2022-08-08T07:27:52.89" personId="{CA9FF493-EE46-4EBE-98EF-A0B3D72B9735}" id="{E4E03E29-20E0-4B8F-A0B7-3386C7A7265D}">
    <text>Assumptions for calculation for BB ESDM
Based on IT industry for Beyond Bengaluru, For 2 Bn Revenue it is estimated to generate an employment of 1,31,579. On similar grounds, for 0.9 Bn of revenue for ESDM, we arrive at an employment of ~60,000)</text>
  </threadedComment>
  <threadedComment ref="A38" dT="2022-07-04T09:18:12.58" personId="{CA9FF493-EE46-4EBE-98EF-A0B3D72B9735}" id="{2A834014-C70A-4E9B-AE28-2DBB6DDC397D}">
    <text>https://news.abplive.com/business/india-needs-10-lakh-start-ups-to-generate-1-crore-employment-report-1532260                                 Assuming ~72600 startups in India employing about 20 people approximately*, we arrive at 15,52,000 employees – As per Invest India dated 27th June 2022 (We had discussed earlier for considering 10,00,000 employees for startups in India)</text>
  </threadedComment>
  <threadedComment ref="B38" dT="2022-07-04T08:56:25.05" personId="{CA9FF493-EE46-4EBE-98EF-A0B3D72B9735}" id="{D95A2E47-1B42-4CC6-A97F-4DCA0CEAB67C}">
    <text>https://www.business-standard.com/article/current-affairs/number-of-recognised-startups-in-india-rises-to-65-861-says-govt-122032500790_1.html https://www.investindia.gov.in/indian-unicorn-landscape*                   Based on assumption for calculation purpose (As per DPIIT sources online and discussion with Mr.Pai)</text>
  </threadedComment>
  <threadedComment ref="I38" dT="2022-08-08T07:58:02.40" personId="{CA9FF493-EE46-4EBE-98EF-A0B3D72B9735}" id="{6C834F03-5BB1-4EB2-ABA1-35340CDAA481}">
    <text>Assumptions for calculation for BB ESDM
Based on IT industry for Beyond Bengaluru, For 2 Bn Revenue it is estimated to generate an employment of 1,31,579. On similar grounds, for 0.9 Bn of revenue for Startups, we arrive at an employment of ~65,789). Additionally, based on Beyond Bengaluru Report, 15% of the employees have moved to the BB cities, assuming 15% of 600000, we arrive at 90,000, totalling it we arrive at 1,55,789, we have taken it at a round off at 100000</text>
  </threadedComment>
  <threadedComment ref="C50" dT="2022-05-17T09:55:05.29" personId="{CA9FF493-EE46-4EBE-98EF-A0B3D72B9735}" id="{2FFE2005-6CE6-4CC8-A836-C25D5969F8E9}">
    <text>Karnataka revenue share considered at 20% of India value</text>
  </threadedComment>
  <threadedComment ref="E50" dT="2022-05-11T05:16:43.38" personId="{CA9FF493-EE46-4EBE-98EF-A0B3D72B9735}" id="{D41E203E-07E6-45D1-B36D-2336A54D3211}">
    <text>Karnataka revenue share considered at 20% of India value and for employment it is considered at 15%</text>
  </threadedComment>
  <threadedComment ref="F50" dT="2022-05-11T05:17:18.30" personId="{CA9FF493-EE46-4EBE-98EF-A0B3D72B9735}" id="{A9DA0767-074B-4CBC-8FEE-AECA5860BD8E}">
    <text>Growth rate considered at 12%</text>
  </threadedComment>
  <threadedComment ref="C51" dT="2022-05-26T05:52:59.36" personId="{CA9FF493-EE46-4EBE-98EF-A0B3D72B9735}" id="{FCF7CAEA-3A64-4AB8-8D97-D383B7135B0F}">
    <text>Share of Beyond Bengaluru is taken at ~2% of Karnataka value (As per our calculation we get ~1.97%)</text>
  </threadedComment>
  <threadedComment ref="E51" dT="2022-05-26T05:58:30.69" personId="{CA9FF493-EE46-4EBE-98EF-A0B3D72B9735}" id="{4B7766B7-D962-4404-A0BF-533169D8D566}">
    <text>Growth for IT industry shown in Beyond Bengaluru workings</text>
  </threadedComment>
</ThreadedComments>
</file>

<file path=xl/threadedComments/threadedComment3.xml><?xml version="1.0" encoding="utf-8"?>
<ThreadedComments xmlns="http://schemas.microsoft.com/office/spreadsheetml/2018/threadedcomments" xmlns:x="http://schemas.openxmlformats.org/spreadsheetml/2006/main">
  <threadedComment ref="C9" dT="2022-05-12T09:03:01.19" personId="{CA9FF493-EE46-4EBE-98EF-A0B3D72B9735}" id="{53C0169E-57CA-4798-B7BE-8DBD8C2FEF75}">
    <text>Assuming 12% increase over 2020-21 data for IT exports, we arrive at ~ $ 165 Bn                                                       Additionally as per Indian Express article dated March 6th 2022, Indian software exports in the current financial year are estimated to be worth $170 billion USD with Karnataka contributing an estimated 38 per cent</text>
  </threadedComment>
  <threadedComment ref="D9" dT="2022-05-12T09:12:50.67" personId="{CA9FF493-EE46-4EBE-98EF-A0B3D72B9735}" id="{D17CB80A-C3E4-4144-8255-ED7C1C26DE5D}">
    <text>As per Indian Express article, Indian software exports in the current financial year are estimated to be worth $170 billion USD with Karnataka contributing an estimated 38 per cent</text>
  </threadedComment>
  <threadedComment ref="E9" dT="2022-06-20T06:18:21.29" personId="{CA9FF493-EE46-4EBE-98EF-A0B3D72B9735}" id="{F13272C4-8E20-4040-916E-0DCA22F8F9D9}">
    <text>For Beyond Bengaluru, IT Exports and IT Domestic are considered as one calculation</text>
  </threadedComment>
  <threadedComment ref="F9" dT="2022-05-12T09:03:01.19" personId="{CA9FF493-EE46-4EBE-98EF-A0B3D72B9735}" id="{EE673DC7-BAFA-442F-B5D4-BAD214AECE6F}">
    <text>Assuming 12% increase over 2020-21 data for IT exports, we arrive at ~ $ 165 Bn                                                       Additionally as per Indian Express article dated March 6th 2022, Indian software exports in the current financial year are estimated to be worth $170 billion USD with Karnataka contributing an estimated 38 per cent</text>
  </threadedComment>
  <threadedComment ref="G9" dT="2022-05-12T09:12:50.67" personId="{CA9FF493-EE46-4EBE-98EF-A0B3D72B9735}" id="{B2F79D52-50A2-4073-8C73-0CE073A630CA}">
    <text>As per Indian Express article, Indian software exports in the current financial year are estimated to be worth $170 billion USD with Karnataka contributing an estimated 38 per cent</text>
  </threadedComment>
  <threadedComment ref="I9" dT="2022-05-12T09:03:01.19" personId="{CA9FF493-EE46-4EBE-98EF-A0B3D72B9735}" id="{1B4D9711-C578-47A9-8A14-6D3A61732274}">
    <text>Assuming 12% increase over 2020-21 data for IT exports, we arrive at ~ $ 165 Bn                                                       Additionally as per Indian Express article dated March 6th 2022, Indian software exports in the current financial year are estimated to be worth $170 billion USD with Karnataka contributing an estimated 38 per cent</text>
  </threadedComment>
  <threadedComment ref="J9" dT="2022-05-12T09:12:50.67" personId="{CA9FF493-EE46-4EBE-98EF-A0B3D72B9735}" id="{7ED83F78-74FD-4574-9E2B-8AC90B5D62BB}">
    <text>As per Indian Express article, Indian software exports in the current financial year are estimated to be worth $170 billion USD with Karnataka contributing an estimated 38 per cent</text>
  </threadedComment>
  <threadedComment ref="L9" dT="2022-05-12T09:03:01.19" personId="{CA9FF493-EE46-4EBE-98EF-A0B3D72B9735}" id="{E214704B-C93D-49C2-BD8E-2B93D1E179C2}">
    <text>Assuming 12% increase over 2020-21 data for IT exports, we arrive at ~ $ 165 Bn                                                       Additionally as per Indian Express article dated March 6th 2022, Indian software exports in the current financial year are estimated to be worth $170 billion USD with Karnataka contributing an estimated 38 per cent</text>
  </threadedComment>
  <threadedComment ref="M9" dT="2022-05-12T09:12:50.67" personId="{CA9FF493-EE46-4EBE-98EF-A0B3D72B9735}" id="{666C5A5B-9723-47BB-885B-4390D877D755}">
    <text>As per Indian Express article, Indian software exports in the current financial year are estimated to be worth $170 billion USD with Karnataka contributing an estimated 38 per cent</text>
  </threadedComment>
  <threadedComment ref="O9" dT="2022-05-12T09:03:01.19" personId="{CA9FF493-EE46-4EBE-98EF-A0B3D72B9735}" id="{C3613E00-407D-4F54-8E29-DBF7FEF2655C}">
    <text>Assuming 12% increase over 2020-21 data for IT exports, we arrive at ~ $ 165 Bn                                                       Additionally as per Indian Express article dated March 6th 2022, Indian software exports in the current financial year are estimated to be worth $170 billion USD with Karnataka contributing an estimated 38 per cent</text>
  </threadedComment>
  <threadedComment ref="P9" dT="2022-05-12T09:12:50.67" personId="{CA9FF493-EE46-4EBE-98EF-A0B3D72B9735}" id="{83D98846-0AA3-473B-9ABC-C064D93A4477}">
    <text>As per Indian Express article, Indian software exports in the current financial year are estimated to be worth $170 billion USD with Karnataka contributing an estimated 38 per cent</text>
  </threadedComment>
  <threadedComment ref="R9" dT="2022-05-12T09:03:01.19" personId="{CA9FF493-EE46-4EBE-98EF-A0B3D72B9735}" id="{36EAA3DE-0758-4BA6-8DC7-2C2AB640E59C}">
    <text>Assuming 12% increase over 2020-21 data for IT exports, we arrive at ~ $ 165 Bn                                                       Additionally as per Indian Express article dated March 6th 2022, Indian software exports in the current financial year are estimated to be worth $170 billion USD with Karnataka contributing an estimated 38 per cent</text>
  </threadedComment>
  <threadedComment ref="S9" dT="2022-05-12T09:12:50.67" personId="{CA9FF493-EE46-4EBE-98EF-A0B3D72B9735}" id="{9FF4B161-8646-464D-B2A6-7365F7A6E3F9}">
    <text>As per Indian Express article, Indian software exports in the current financial year are estimated to be worth $170 billion USD with Karnataka contributing an estimated 38 per cent</text>
  </threadedComment>
  <threadedComment ref="U9" dT="2022-05-12T09:03:01.19" personId="{CA9FF493-EE46-4EBE-98EF-A0B3D72B9735}" id="{C0A6DFFA-9BED-4331-888B-DEBAC2A33AFB}">
    <text>Assuming 12% increase over 2020-21 data for IT exports, we arrive at ~ $ 165 Bn                                                       Additionally as per Indian Express article dated March 6th 2022, Indian software exports in the current financial year are estimated to be worth $170 billion USD with Karnataka contributing an estimated 38 per cent</text>
  </threadedComment>
  <threadedComment ref="V9" dT="2022-05-12T09:12:50.67" personId="{CA9FF493-EE46-4EBE-98EF-A0B3D72B9735}" id="{24BC6C53-CC55-4851-B18A-00030D4D5AF7}">
    <text>As per Indian Express article, Indian software exports in the current financial year are estimated to be worth $170 billion USD with Karnataka contributing an estimated 38 per cent</text>
  </threadedComment>
  <threadedComment ref="X9" dT="2022-05-12T09:03:01.19" personId="{CA9FF493-EE46-4EBE-98EF-A0B3D72B9735}" id="{F3F7A708-FCE8-4B28-BB8B-4761D2B6C27E}">
    <text>Assuming 12% increase over 2020-21 data for IT exports, we arrive at ~ $ 165 Bn                                                       Additionally as per Indian Express article dated March 6th 2022, Indian software exports in the current financial year are estimated to be worth $170 billion USD with Karnataka contributing an estimated 38 per cent</text>
  </threadedComment>
  <threadedComment ref="Y9" dT="2022-05-12T09:12:50.67" personId="{CA9FF493-EE46-4EBE-98EF-A0B3D72B9735}" id="{892AB0AA-2637-4CB1-9943-8FF4AB56A4E1}">
    <text>As per Indian Express article, Indian software exports in the current financial year are estimated to be worth $170 billion USD with Karnataka contributing an estimated 38 per cent</text>
  </threadedComment>
  <threadedComment ref="AA9" dT="2022-05-12T09:03:01.19" personId="{CA9FF493-EE46-4EBE-98EF-A0B3D72B9735}" id="{7D1FD66D-920D-43EC-A1EE-2A855A0865FE}">
    <text>Assuming 12% increase over 2020-21 data for IT exports, we arrive at ~ $ 165 Bn                                                       Additionally as per Indian Express article dated March 6th 2022, Indian software exports in the current financial year are estimated to be worth $170 billion USD with Karnataka contributing an estimated 38 per cent</text>
  </threadedComment>
  <threadedComment ref="AB9" dT="2022-05-12T09:12:50.67" personId="{CA9FF493-EE46-4EBE-98EF-A0B3D72B9735}" id="{0F7CC661-4740-42B5-892A-BAC0F8DE0A94}">
    <text>As per Indian Express article, Indian software exports in the current financial year are estimated to be worth $170 billion USD with Karnataka contributing an estimated 38 per cent</text>
  </threadedComment>
  <threadedComment ref="AD9" dT="2022-05-12T09:03:01.19" personId="{CA9FF493-EE46-4EBE-98EF-A0B3D72B9735}" id="{BDADD268-0EB6-4A8D-A8BD-4EBF891ED278}">
    <text>Assuming 12% increase over 2020-21 data for IT exports, we arrive at ~ $ 165 Bn                                                       Additionally as per Indian Express article dated March 6th 2022, Indian software exports in the current financial year are estimated to be worth $170 billion USD with Karnataka contributing an estimated 38 per cent</text>
  </threadedComment>
  <threadedComment ref="AE9" dT="2022-05-12T09:12:50.67" personId="{CA9FF493-EE46-4EBE-98EF-A0B3D72B9735}" id="{F215634B-596F-4950-9BA5-3829A33A6504}">
    <text>As per Indian Express article, Indian software exports in the current financial year are estimated to be worth $170 billion USD with Karnataka contributing an estimated 38 per cent</text>
  </threadedComment>
  <threadedComment ref="B11" dT="2022-05-12T07:06:41.16" personId="{CA9FF493-EE46-4EBE-98EF-A0B3D72B9735}" id="{A40FFA8D-5AFF-4678-B5C6-8A73A63B47B3}">
    <text>To refer Tab "ESDM Sector" for breakup</text>
  </threadedComment>
  <threadedComment ref="C11" dT="2022-05-10T10:19:03.32" personId="{CA9FF493-EE46-4EBE-98EF-A0B3D72B9735}" id="{336AAB61-A56A-4E4B-BD4F-768CF0691F2F}">
    <text>As per ICEA estimates</text>
  </threadedComment>
  <threadedComment ref="F11" dT="2022-05-10T10:19:03.32" personId="{CA9FF493-EE46-4EBE-98EF-A0B3D72B9735}" id="{446A0BB9-D4AF-4E67-A248-BC04AB79E885}">
    <text>As per ICEA estimates</text>
  </threadedComment>
  <threadedComment ref="I11" dT="2022-05-10T10:19:03.32" personId="{CA9FF493-EE46-4EBE-98EF-A0B3D72B9735}" id="{19ECA02C-7E1E-494F-B058-FAA4702A3FEA}">
    <text>As per ICEA estimates</text>
  </threadedComment>
  <threadedComment ref="L11" dT="2022-05-10T10:19:03.32" personId="{CA9FF493-EE46-4EBE-98EF-A0B3D72B9735}" id="{1967A8BD-D952-4A97-BDA9-BF37E3C9A1EB}">
    <text>As per ICEA estimates</text>
  </threadedComment>
  <threadedComment ref="O11" dT="2022-05-10T10:19:03.32" personId="{CA9FF493-EE46-4EBE-98EF-A0B3D72B9735}" id="{39575DB7-9C5C-4FD3-B84D-E6DA61D75584}">
    <text>As per ICEA estimates</text>
  </threadedComment>
  <threadedComment ref="R11" dT="2022-05-10T10:19:03.32" personId="{CA9FF493-EE46-4EBE-98EF-A0B3D72B9735}" id="{B401C0EC-4D19-4D24-A6C4-776F680EF80B}">
    <text>As per ICEA estimates</text>
  </threadedComment>
  <threadedComment ref="U11" dT="2022-05-10T10:19:03.32" personId="{CA9FF493-EE46-4EBE-98EF-A0B3D72B9735}" id="{01840E95-E2B9-4083-8796-4A3B89BED85C}">
    <text>As per ICEA estimates</text>
  </threadedComment>
  <threadedComment ref="X11" dT="2022-05-10T10:19:03.32" personId="{CA9FF493-EE46-4EBE-98EF-A0B3D72B9735}" id="{FB0A8F7D-1432-4B03-9F14-0823989034C2}">
    <text>As per ICEA estimates</text>
  </threadedComment>
  <threadedComment ref="AA11" dT="2022-05-10T10:19:03.32" personId="{CA9FF493-EE46-4EBE-98EF-A0B3D72B9735}" id="{3FD96E5F-5C5F-4C23-8365-54873E362159}">
    <text>As per ICEA estimates</text>
  </threadedComment>
  <threadedComment ref="AD11" dT="2022-05-10T10:19:03.32" personId="{CA9FF493-EE46-4EBE-98EF-A0B3D72B9735}" id="{1B4E37ED-14C1-424A-A062-800896A1A2CB}">
    <text>As per ICEA estimates</text>
  </threadedComment>
  <threadedComment ref="C19" dT="2022-05-12T09:03:01.19" personId="{CA9FF493-EE46-4EBE-98EF-A0B3D72B9735}" id="{D38EBFBB-AEA4-44BC-B0CA-1B77E94934FD}">
    <text>https://www.meity.gov.in/content/employment</text>
  </threadedComment>
  <threadedComment ref="B21" dT="2022-05-12T07:06:41.16" personId="{CA9FF493-EE46-4EBE-98EF-A0B3D72B9735}" id="{FC1F1944-0492-4C49-A69C-CE6346147744}">
    <text>To refer Tab "ESDM Sector" for breakup</text>
  </threadedComment>
  <threadedComment ref="L21" dT="2022-05-10T10:19:03.32" personId="{CA9FF493-EE46-4EBE-98EF-A0B3D72B9735}" id="{51FAF03C-85A6-48A5-9B00-EB59DB7B6A7A}">
    <text>As per ICEA estimates</text>
  </threadedComment>
  <threadedComment ref="O21" dT="2022-05-10T10:19:03.32" personId="{CA9FF493-EE46-4EBE-98EF-A0B3D72B9735}" id="{DBB22668-4FA9-48F9-82AE-4426A256E17A}">
    <text>As per ICEA estimates</text>
  </threadedComment>
  <threadedComment ref="R21" dT="2022-05-10T10:19:03.32" personId="{CA9FF493-EE46-4EBE-98EF-A0B3D72B9735}" id="{2E03A863-B785-4E95-83B2-4902CF45B990}">
    <text>As per ICEA estimates</text>
  </threadedComment>
  <threadedComment ref="U21" dT="2022-05-10T10:19:03.32" personId="{CA9FF493-EE46-4EBE-98EF-A0B3D72B9735}" id="{69C7F022-777E-4814-AB01-9B2CF9ECA606}">
    <text>As per ICEA estimates</text>
  </threadedComment>
  <threadedComment ref="X21" dT="2022-05-10T10:19:03.32" personId="{CA9FF493-EE46-4EBE-98EF-A0B3D72B9735}" id="{E94AD591-4BF3-4403-973D-5AE7D885189C}">
    <text>As per ICEA estimates</text>
  </threadedComment>
  <threadedComment ref="AA21" dT="2022-05-10T10:19:03.32" personId="{CA9FF493-EE46-4EBE-98EF-A0B3D72B9735}" id="{1AC38B21-B2CF-4FEE-A709-2C3F7197BDA8}">
    <text>As per ICEA estimates</text>
  </threadedComment>
  <threadedComment ref="AD21" dT="2022-05-10T10:19:03.32" personId="{CA9FF493-EE46-4EBE-98EF-A0B3D72B9735}" id="{9609B329-2266-4284-ABB2-C8F4AC19769D}">
    <text>As per ICEA estimates</text>
  </threadedComment>
</ThreadedComments>
</file>

<file path=xl/threadedComments/threadedComment4.xml><?xml version="1.0" encoding="utf-8"?>
<ThreadedComments xmlns="http://schemas.microsoft.com/office/spreadsheetml/2018/threadedcomments" xmlns:x="http://schemas.openxmlformats.org/spreadsheetml/2006/main">
  <threadedComment ref="C9" dT="2022-05-26T05:28:10.39" personId="{CA9FF493-EE46-4EBE-98EF-A0B3D72B9735}" id="{48D83552-59C2-4692-AA32-2D5756DD9414}">
    <text>Based on Beyond Bengaluru Report 2020 estimations</text>
  </threadedComment>
  <threadedComment ref="D9" dT="2022-05-26T05:39:04.09" personId="{CA9FF493-EE46-4EBE-98EF-A0B3D72B9735}" id="{461B544B-017A-4460-BC62-BFEB11C0BE8C}">
    <text>Assumed growth at 25% of CAGR</text>
  </threadedComment>
  <threadedComment ref="H9" dT="2022-05-26T05:38:05.63" personId="{CA9FF493-EE46-4EBE-98EF-A0B3D72B9735}" id="{FF010938-157E-49C2-BC91-471342F8568A}">
    <text>As per Beyond Bengaluru Report estimation</text>
  </threadedComment>
  <threadedComment ref="I9" dT="2022-06-20T10:20:14.88" personId="{CA9FF493-EE46-4EBE-98EF-A0B3D72B9735}" id="{A59960DB-979D-480C-9437-AFFD56EDB23A}">
    <text>Assumed growth at 18.2% of CAGR</text>
  </threadedComment>
  <threadedComment ref="L9" dT="2022-05-26T05:38:05.63" personId="{CA9FF493-EE46-4EBE-98EF-A0B3D72B9735}" id="{E30D99F7-89DD-411F-BF23-B70C609E1DC0}">
    <text>As per Beyond Bengaluru Report estimation</text>
  </threadedComment>
  <threadedComment ref="C20" dT="2022-05-26T09:01:34.33" personId="{CA9FF493-EE46-4EBE-98EF-A0B3D72B9735}" id="{9D6C0DBF-56CD-493D-930A-740151025D46}">
    <text>Based on Beyond Bengaluru Report 2020 estimations</text>
  </threadedComment>
  <threadedComment ref="D21" dT="2022-08-08T07:46:02.83" personId="{CA9FF493-EE46-4EBE-98EF-A0B3D72B9735}" id="{4619A708-683F-438B-BFC4-76B950E78C57}">
    <text>Assumptions for calculation:
Based on IT industry for Beyond Bengaluru, For 2 Bn Revenue it is estimated to generate an employment of 1,31,579. On similar grounds, for 0.9 Bn of revenue for ESDM, we arrive at an employment of ~60,000) at around 42% of Karnataka employment</text>
  </threadedComment>
</ThreadedComments>
</file>

<file path=xl/threadedComments/threadedComment5.xml><?xml version="1.0" encoding="utf-8"?>
<ThreadedComments xmlns="http://schemas.microsoft.com/office/spreadsheetml/2018/threadedcomments" xmlns:x="http://schemas.openxmlformats.org/spreadsheetml/2006/main">
  <threadedComment ref="D10" dT="2022-06-23T05:15:21.38" personId="{CA9FF493-EE46-4EBE-98EF-A0B3D72B9735}" id="{E42DBBC6-C8C8-4303-B7EB-3E00719B81F3}">
    <text>Reference as per the number estimated by economic survey 2022 published by economic times - 14000, As per Business Standard article, it is estimated at 13000 startups - https://www.business-standard.com/article/current-affairs/karnataka-will-play-major-role-in-making-india-5-trn-economy-cm-122011700070_1.html</text>
  </threadedComment>
  <threadedComment ref="E10" dT="2022-07-07T09:33:56.61" personId="{CA9FF493-EE46-4EBE-98EF-A0B3D72B9735}" id="{61170A73-4F70-4773-8403-41773BCEB166}">
    <text>Assumed at CAGR of 13.97% to reach to 25000 startups by the year 2025 as advised by Mr. Pai</text>
  </threadedComment>
</ThreadedComments>
</file>

<file path=xl/threadedComments/threadedComment6.xml><?xml version="1.0" encoding="utf-8"?>
<ThreadedComments xmlns="http://schemas.microsoft.com/office/spreadsheetml/2018/threadedcomments" xmlns:x="http://schemas.openxmlformats.org/spreadsheetml/2006/main">
  <threadedComment ref="B6" dT="2022-05-13T10:41:32.61" personId="{CA9FF493-EE46-4EBE-98EF-A0B3D72B9735}" id="{7C9EB5F9-8680-45BC-AEB8-3D17B5C96146}">
    <text>As per ICEA estimates and the revenue estimation is done based on anticipation of investment planned of Rs. 5000 Crores</text>
  </threadedComment>
  <threadedComment ref="D6" dT="2022-05-10T10:19:03.32" personId="{CA9FF493-EE46-4EBE-98EF-A0B3D72B9735}" id="{FFE5DBE1-D167-42B0-AA0A-82E6901F6F42}">
    <text>As per ICEA estimates (Have excluded consumer electronics)</text>
  </threadedComment>
  <threadedComment ref="B7" dT="2022-05-16T11:22:32.15" personId="{CA9FF493-EE46-4EBE-98EF-A0B3D72B9735}" id="{6D1C4979-E364-41BB-9478-775EBC62AF24}">
    <text>Based on CEAMA Report</text>
  </threadedComment>
  <threadedComment ref="C7" dT="2022-05-11T07:13:44.12" personId="{CA9FF493-EE46-4EBE-98EF-A0B3D72B9735}" id="{E4A20B46-27C2-49DD-8B2F-3EEEE7E1A30D}">
    <text>As per ICEA estimates, they have considered consumer electronics to include TV, Audio and accessories) - We have considered as per CEAMA data for consumer electronics)</text>
  </threadedComment>
  <threadedComment ref="N7" dT="2022-05-11T05:08:03.81" personId="{CA9FF493-EE46-4EBE-98EF-A0B3D72B9735}" id="{008A898E-D889-4C5E-8703-E038D0A6D9B4}">
    <text>Number based on ICEA projections excluding consumer electronics</text>
  </threadedComment>
  <threadedComment ref="O7" dT="2022-05-11T05:01:05.51" personId="{CA9FF493-EE46-4EBE-98EF-A0B3D72B9735}" id="{0EB6F4AC-9198-4CE0-BDFF-00717891EC28}">
    <text>Value at 20% of India figure or CAGR at 15%, whichever is higher is considered, in our case 20% of India share is considered as it is higher of the two (We have fixed numberfs for 5 years as per ICEA statistics till the year 2025, post which we have assumed CAGR at 12% post the year 2025)</text>
  </threadedComment>
  <threadedComment ref="Q7" dT="2022-05-11T05:11:22.88" personId="{CA9FF493-EE46-4EBE-98EF-A0B3D72B9735}" id="{76AB8F08-DE6B-4CAC-A33F-45E91697520D}">
    <text>Number based on ICEA projections excluding consumer electronics</text>
  </threadedComment>
  <threadedComment ref="R7" dT="2022-05-11T05:07:40.01" personId="{CA9FF493-EE46-4EBE-98EF-A0B3D72B9735}" id="{AC7BE910-4E52-4809-95E5-44F03E415723}">
    <text>Value at 20% of India figure or CAGR at 15%, whichever is higher is considered, in our case 20% of India share is considered as it is higher of the two (We have fixed numberfs for 5 years as per ICEA statistics till the year 2025, post which we have assumed CAGR at 12% post the year 2025)</text>
  </threadedComment>
  <threadedComment ref="T7" dT="2022-05-11T05:11:29.40" personId="{CA9FF493-EE46-4EBE-98EF-A0B3D72B9735}" id="{6E2CD97C-E212-47C8-ABAB-2D2AFB9AF2BB}">
    <text>Number based on ICEA projections excluding consumer electronics</text>
  </threadedComment>
  <threadedComment ref="U7" dT="2022-05-11T05:08:42.68" personId="{CA9FF493-EE46-4EBE-98EF-A0B3D72B9735}" id="{39C1347B-2129-4DC8-80F8-50C6E7D55328}">
    <text>Value at 20% of India figure or CAGR at 15%, whichever is higher is considered, in our case 20% of India share is considered as it is higher of the two (We have fixed numberfs for 5 years as per ICEA statistics till the year 2025, post which we have assumed CAGR at 12% post the year 2025)</text>
  </threadedComment>
  <threadedComment ref="W7" dT="2022-05-11T05:11:56.80" personId="{CA9FF493-EE46-4EBE-98EF-A0B3D72B9735}" id="{59D80021-B9CD-4F2B-B239-E33F095721FD}">
    <text>Number based on ICEA projections excluding consumer electronics</text>
  </threadedComment>
  <threadedComment ref="X7" dT="2022-05-11T05:11:00.34" personId="{CA9FF493-EE46-4EBE-98EF-A0B3D72B9735}" id="{2C8E9287-7DA1-4B6C-8D35-3710C90F4354}">
    <text>Value at 20% of India figure or CAGR at 15%, whichever is higher is considered, in our case 20% of India share is considered as it is higher of the two (We have fixed numberfs for 5 years as per ICEA statistics till the year 2025, post which we have assumed CAGR at 12% post the year 2025)</text>
  </threadedComment>
  <threadedComment ref="Z7" dT="2022-05-12T05:59:07.41" personId="{CA9FF493-EE46-4EBE-98EF-A0B3D72B9735}" id="{E73021FA-67A8-4717-A9F1-969E3CF099AC}">
    <text>Growth Rate considered at 12% post the year 2025-26</text>
  </threadedComment>
  <threadedComment ref="B8" dT="2022-05-16T09:25:26.07" personId="{CA9FF493-EE46-4EBE-98EF-A0B3D72B9735}" id="{958B7EA9-9D75-4888-ABE0-54EAB1B7DCC3}">
    <text>Assumed based on fixed numbers for 5 years as per Frost and Sullivan Report on Impact Analysis of increased manufacturing till the year 2025, post which we have assumed CAGR at 12% post the year 2025) - Page 58</text>
  </threadedComment>
  <threadedComment ref="D8" dT="2022-05-16T09:34:32.80" personId="{CA9FF493-EE46-4EBE-98EF-A0B3D72B9735}" id="{DEC58BB6-BB36-48AF-B56C-D31B6EC1A9E7}">
    <text>9300 Crores INR converted to Billion ~ 1 Bn is 7500 Crores</text>
  </threadedComment>
  <threadedComment ref="B9" dT="2022-05-16T09:52:03.44" personId="{CA9FF493-EE46-4EBE-98EF-A0B3D72B9735}" id="{87C2C3DC-DE0A-452B-8407-844C6FC2F4EC}">
    <text>Assumed based on fixed numbers for 5 years as per Frost and Sullivan Report on Impact Analysis of increased manufacturing till the year 2025, post which we have assumed CAGR at 12% post the year 2025) - Page 53</text>
  </threadedComment>
  <threadedComment ref="B10" dT="2022-05-16T10:00:34.24" personId="{CA9FF493-EE46-4EBE-98EF-A0B3D72B9735}" id="{83F80157-A737-438F-B786-B91C992CD854}">
    <text>Assumed based on fixed numbers for 5 years as per Frost and Sullivan Report on Impact Analysis of increased manufacturing till the year 2025, post which we have assumed CAGR at 12% post the year 2025) - Page 63</text>
  </threadedComment>
  <threadedComment ref="B11" dT="2022-05-16T10:12:37.78" personId="{CA9FF493-EE46-4EBE-98EF-A0B3D72B9735}" id="{46487F2E-4474-4623-BCB7-691884E685F0}">
    <text>Assumed based on fixed numbers for 5 years as per Frost and Sullivan Report on Impact Analysis of increased manufacturing till the year 2025, post which we have assumed CAGR at 12% post the year 2025) - Page 68</text>
  </threadedComment>
  <threadedComment ref="B12" dT="2022-05-16T10:44:17.03" personId="{CA9FF493-EE46-4EBE-98EF-A0B3D72B9735}" id="{D720BD7C-8E12-4F49-B4E3-FD18E03F794A}">
    <text>Assumed based on fixed numbers for 5 years as per Frost and Sullivan Report on Impact Analysis of increased manufacturing till the year 2025, post which we have assumed CAGR at 12% post the year 2025) - Page 73</text>
  </threadedComment>
  <threadedComment ref="B14" dT="2022-05-17T05:05:29.89" personId="{CA9FF493-EE46-4EBE-98EF-A0B3D72B9735}" id="{FD12EB49-59F8-4FC7-9852-4EC56716A577}">
    <text>Source for targets from IBS (From the year 2027-28, the estimates have been increased for Karnataka share at 40% assuming completion of semicon fab facility in Karnataka  - The GoI scheme for Semicon and Dispay Fabs aims at attracting 2 semicon fab and 2 display fab out of which 1 semicon fab (ISMC) has landed in Karnataka so 50% of India revenue should be considered for Karnataka (Since Mysuru falls in BB cluster - Karnataka share is same for BB share)</text>
  </threadedComment>
  <threadedComment ref="B15" dT="2022-05-17T05:16:31.63" personId="{CA9FF493-EE46-4EBE-98EF-A0B3D72B9735}" id="{234890A6-A915-4431-A85D-7053C9F983CD}">
    <text>Insights from ICEA</text>
  </threadedComment>
  <threadedComment ref="B16" dT="2022-05-17T05:24:06.09" personId="{CA9FF493-EE46-4EBE-98EF-A0B3D72B9735}" id="{8294A234-8AF2-4A40-9A24-E6A1A14B8384}">
    <text>Insights from ICEA</text>
  </threadedComment>
  <threadedComment ref="B17" dT="2022-05-13T10:42:21.62" personId="{CA9FF493-EE46-4EBE-98EF-A0B3D72B9735}" id="{62F5CA08-A7EB-45AD-811F-01D411349962}">
    <text>Reference assumed - CAGR of 2.6 % till the year 2027 https://www.prnewswire.com/news-releases/medical-electronics-market-size-to-reach-usd-5256-6-million-by-2027-at-cagr-2-6---valuates-reports-301268927.html</text>
  </threadedComment>
  <threadedComment ref="D17" dT="2022-05-12T07:17:10.94" personId="{CA9FF493-EE46-4EBE-98EF-A0B3D72B9735}" id="{FAE71165-AA83-4F89-BB6D-1957D43336D0}">
    <text>Reference assumed as per article by CISION PR Newswire - CAGR of 2.6 % till the year 2027 https://www.prnewswire.com/news-releases/medical-electronics-market-size-to-reach-usd-5256-6-million-by-2027-at-cagr-2-6---valuates-reports-301268927.html</text>
  </threadedComment>
  <threadedComment ref="B18" dT="2022-05-23T09:33:34.01" personId="{CA9FF493-EE46-4EBE-98EF-A0B3D72B9735}" id="{8063BB66-C488-4186-9EA4-6F69610906C8}">
    <text>https://www.psmarketresearch.com/press-release/electric-vehicle-component-market-in-india#:~:text=Additionally%2C%20a%20decline%20is%20being,million%20in%20revenue%20in%202019.</text>
  </threadedComment>
  <threadedComment ref="O21" dT="2022-05-11T05:01:05.51" personId="{CA9FF493-EE46-4EBE-98EF-A0B3D72B9735}" id="{EFB793D5-CAB0-4948-B38A-BDAF3F4126CE}">
    <text>Value at 20% of India figure or CAGR at 15%, whichever is higher is considered, in our case 20% of India share is considered as it is higher of the two (We have fixed numbers for 5 years as per Frost and Sullivan Report on Impact Analysis of increased manufacturing till the year 2025, post which we have assumed CAGR at 12% post the year 2025)</text>
  </threadedComment>
  <threadedComment ref="R21" dT="2022-05-11T05:01:05.51" personId="{CA9FF493-EE46-4EBE-98EF-A0B3D72B9735}" id="{743CA301-BCBD-47C4-A283-6EAE25DBC66A}">
    <text>Value at 20% of India figure or CAGR at 15%, whichever is higher is considered, in our case 20% of India share is considered as it is higher of the two (We have fixed numbers for 5 years as per Frost and Sullivan Report on Impact Analysis of increased manufacturing till the year 2025, post which we have assumed CAGR at 12% post the year 2025)</text>
  </threadedComment>
  <threadedComment ref="U21" dT="2022-05-11T05:01:05.51" personId="{CA9FF493-EE46-4EBE-98EF-A0B3D72B9735}" id="{C5941452-8295-481E-AC4D-E3839FB11814}">
    <text>Value at 20% of India figure or CAGR at 15%, whichever is higher is considered, in our case 20% of India share is considered as it is higher of the two (We have fixed numbers for 5 years as per Frost and Sullivan Report on Impact Analysis of increased manufacturing till the year 2025, post which we have assumed CAGR at 12% post the year 2025)</text>
  </threadedComment>
  <threadedComment ref="X21" dT="2022-05-11T05:01:05.51" personId="{CA9FF493-EE46-4EBE-98EF-A0B3D72B9735}" id="{C917B0B8-F1BD-4FAA-8F27-A972F98003FC}">
    <text>Value at 20% of India figure or CAGR at 15%, whichever is higher is considered, in our case 20% of India share is considered as it is higher of the two (We have fixed numbers for 5 years as per Frost and Sullivan Report on Impact Analysis of increased manufacturing till the year 2025, post which we have assumed CAGR at 12% post the year 2025)</text>
  </threadedComment>
  <threadedComment ref="Z21" dT="2022-05-16T09:57:01.64" personId="{CA9FF493-EE46-4EBE-98EF-A0B3D72B9735}" id="{F53218C4-5A09-4C9A-9652-F824FA7F60BE}">
    <text>We have fixed numbers for 5 years as per Frost and Sullivan Report on Impact Analysis of increased manufacturing till the year 2025, post which we have assumed CAGR at 12% post the year 2025</text>
  </threadedComment>
  <threadedComment ref="AA21" dT="2022-05-11T05:01:05.51" personId="{CA9FF493-EE46-4EBE-98EF-A0B3D72B9735}" id="{4462713D-8E80-444A-8069-2E95B9B1EF81}">
    <text>Value at 20% of India figure or CAGR at 15%, whichever is higher is considered, in our case 20% of India share is considered as it is higher of the two (We have fixed numbers for 5 years as per Frost and Sullivan Report on Impact Analysis of increased manufacturing till the year 2025, post which we have assumed CAGR at 12% post the year 2025)</text>
  </threadedComment>
  <threadedComment ref="AD21" dT="2022-05-11T05:01:05.51" personId="{CA9FF493-EE46-4EBE-98EF-A0B3D72B9735}" id="{8FE5E628-2F06-4396-A68E-C09626B901CE}">
    <text>Value at 20% of India figure or CAGR at 15%, whichever is higher is considered, in our case 20% of India share is considered as it is higher of the two (We have fixed numbers for 5 years as per Frost and Sullivan Report on Impact Analysis of increased manufacturing till the year 2025, post which we have assumed CAGR at 12% post the year 2025)</text>
  </threadedComment>
  <threadedComment ref="AG21" dT="2022-05-11T05:01:05.51" personId="{CA9FF493-EE46-4EBE-98EF-A0B3D72B9735}" id="{B8DC9D6F-821A-48D6-87E2-6560DC470401}">
    <text>Value at 20% of India figure or CAGR at 15%, whichever is higher is considered, in our case 20% of India share is considered as it is higher of the two (We have fixed numbers for 5 years as per Frost and Sullivan Report on Impact Analysis of increased manufacturing till the year 2025, post which we have assumed CAGR at 12% post the year 2025)</text>
  </threadedComment>
  <threadedComment ref="AJ21" dT="2022-05-11T05:01:05.51" personId="{CA9FF493-EE46-4EBE-98EF-A0B3D72B9735}" id="{C1EC5886-4FE3-4763-871B-2EE73AF8B0EC}">
    <text>Value at 20% of India figure or CAGR at 15%, whichever is higher is considered, in our case 20% of India share is considered as it is higher of the two (We have fixed numbers for 5 years as per Frost and Sullivan Report on Impact Analysis of increased manufacturing till the year 2025, post which we have assumed CAGR at 12% post the year 2025)</text>
  </threadedComment>
  <threadedComment ref="AM21" dT="2022-05-11T05:01:05.51" personId="{CA9FF493-EE46-4EBE-98EF-A0B3D72B9735}" id="{2A62E95A-FD80-4DB5-A5E4-3EC4AF53786A}">
    <text>Value at 20% of India figure or CAGR at 15%, whichever is higher is considered, in our case 20% of India share is considered as it is higher of the two (We have fixed numbers for 5 years as per Frost and Sullivan Report on Impact Analysis of increased manufacturing till the year 2025, post which we have assumed CAGR at 12% post the year 2025)</text>
  </threadedComment>
  <threadedComment ref="C22" dT="2022-05-23T08:51:13.12" personId="{CA9FF493-EE46-4EBE-98EF-A0B3D72B9735}" id="{BD78FA93-78F7-4FE0-8EF8-1974B8F6F0DC}">
    <text>https://www.pib.gov.in/PressReleasePage.aspx?PRID=1710113
https://pib.gov.in/PressReleasePage.aspx?PRID=1757651
https://pib.gov.in/PressReleasePage.aspx?PRID=1783827</text>
  </threadedComment>
  <threadedComment ref="Z22" dT="2022-05-16T09:57:34.49" personId="{CA9FF493-EE46-4EBE-98EF-A0B3D72B9735}" id="{06543DEA-7B04-484E-947E-1258E06F1B41}">
    <text>We have fixed numbers for 5 years as per Frost and Sullivan Report on Impact Analysis of increased manufacturing till the year 2025, post which we have assumed CAGR at 12% post the year 2025</text>
  </threadedComment>
  <threadedComment ref="Z23" dT="2022-05-16T10:09:12.89" personId="{CA9FF493-EE46-4EBE-98EF-A0B3D72B9735}" id="{A9752DBA-D7F7-45F2-AFE9-055E8DB1A4BF}">
    <text>We have fixed numbers for 5 years as per Frost and Sullivan Report on Impact Analysis of increased manufacturing till the year 2025, post which we have assumed CAGR at 12% post the year 2025</text>
  </threadedComment>
  <threadedComment ref="Z24" dT="2022-05-16T10:16:16.14" personId="{CA9FF493-EE46-4EBE-98EF-A0B3D72B9735}" id="{89305DDB-05C8-435C-A759-2779C9ABC78F}">
    <text>We have fixed numbers for 5 years as per Frost and Sullivan Report on Impact Analysis of increased manufacturing till the year 2025, post which we have assumed CAGR at 12% post the year 2025</text>
  </threadedComment>
  <threadedComment ref="Z25" dT="2022-05-16T10:47:25.98" personId="{CA9FF493-EE46-4EBE-98EF-A0B3D72B9735}" id="{511D5155-56A7-4987-8D17-E04F77030D98}">
    <text>We have fixed numbers for 5 years as per Frost and Sullivan Report on Impact Analysis of increased manufacturing till the year 2025, post which we have assumed CAGR at 12% post the year 2025</text>
  </threadedComment>
  <threadedComment ref="M27" dT="2022-05-11T09:05:57.88" personId="{CA9FF493-EE46-4EBE-98EF-A0B3D72B9735}" id="{96A34837-1031-4F19-9DB1-073855C80535}">
    <text>Insights from IESA - 2 for India and 1 will be in Karnataka</text>
  </threadedComment>
  <threadedComment ref="N27" dT="2022-06-24T05:55:01.64" personId="{CA9FF493-EE46-4EBE-98EF-A0B3D72B9735}" id="{815211C6-54DC-400D-990F-27FA56BBBE56}">
    <text>Establishment period till the year 2025 so it is considered 0 for the first 3 years</text>
  </threadedComment>
  <threadedComment ref="W27" dT="2022-06-23T06:48:39.59" personId="{CA9FF493-EE46-4EBE-98EF-A0B3D72B9735}" id="{3919250C-1E8F-480D-8E96-29017AA5D53A}">
    <text>Assuming 30% of returns for ~3 Bn investment (As per ISMC Financial partners) and insights from IESA discussion</text>
  </threadedComment>
  <threadedComment ref="X27" dT="2022-06-23T06:48:15.35" personId="{CA9FF493-EE46-4EBE-98EF-A0B3D72B9735}" id="{864C82F3-61C6-4BF2-B9DD-F86535FB7974}">
    <text>Assuming 30% of returns for ~3 Bn investment (As per ISMC Financial partners) and insights from IESA discussion   1 in Karnataka and 1 outside Karnataka</text>
  </threadedComment>
  <threadedComment ref="M28" dT="2022-05-11T09:06:02.87" personId="{CA9FF493-EE46-4EBE-98EF-A0B3D72B9735}" id="{A4FBD167-283A-4E8F-B007-4B8C68637C64}">
    <text>Insights from ICEA Report</text>
  </threadedComment>
  <threadedComment ref="N28" dT="2022-06-24T05:55:41.04" personId="{CA9FF493-EE46-4EBE-98EF-A0B3D72B9735}" id="{F8E65DBC-1860-4A11-98AA-13FF65D0AED4}">
    <text>Based on ICEA estimates</text>
  </threadedComment>
  <threadedComment ref="Z28" dT="2022-05-17T05:11:06.89" personId="{CA9FF493-EE46-4EBE-98EF-A0B3D72B9735}" id="{578396CB-6ACA-421D-BDCB-6BE086135405}">
    <text>Assumed CAGR growth of 27%</text>
  </threadedComment>
  <threadedComment ref="N30" dT="2022-05-12T06:46:35.25" personId="{CA9FF493-EE46-4EBE-98EF-A0B3D72B9735}" id="{4267ED44-EC34-43DD-83DD-FD61AA7C2CF9}">
    <text>Reference assumed - CAGR of 2.6 % till the year 2027 https://www.prnewswire.com/news-releases/medical-electronics-market-size-to-reach-usd-5256-6-million-by-2027-at-cagr-2-6---valuates-reports-301268927.html</text>
  </threadedComment>
  <threadedComment ref="O30" dT="2022-05-11T05:01:05.51" personId="{CA9FF493-EE46-4EBE-98EF-A0B3D72B9735}" id="{0B2E4D41-D6E4-42C5-AEB5-32E859648EEE}">
    <text>Value at 20% of India figure or CAGR at 15%, whichever is higher is considered, in our case 20% of India share is considered as it is higher of the two (We have fixed numberfs for 5 years as per ICEA statistics till the year 2025, post which we have assumed CAGR at 12% post the year 2025)</text>
  </threadedComment>
  <threadedComment ref="R30" dT="2022-05-11T05:01:05.51" personId="{CA9FF493-EE46-4EBE-98EF-A0B3D72B9735}" id="{9B8308A2-A6E2-4FB4-9B69-6683A8EAD2DA}">
    <text>Value at 20% of India figure or CAGR at 2.6%, whichever is higher is considered, in our case 20% of India share is considered as it is higher of the two (We have fixed numberfs for 5 years as per ICEA statistics till the year 2025, post which we have assumed CAGR at 12% post the year 2025)</text>
  </threadedComment>
  <threadedComment ref="U30" dT="2022-05-11T05:01:05.51" personId="{CA9FF493-EE46-4EBE-98EF-A0B3D72B9735}" id="{FCEB0AFB-C1EA-41D4-876A-EE120589F776}">
    <text>Value at 20% of India figure or CAGR at 15%, whichever is higher is considered, in our case 20% of India share is considered as it is higher of the two (We have fixed numberfs for 5 years as per ICEA statistics till the year 2025, post which we have assumed CAGR at 12% post the year 2025)</text>
  </threadedComment>
  <threadedComment ref="AC30" dT="2022-05-12T07:02:34.48" personId="{CA9FF493-EE46-4EBE-98EF-A0B3D72B9735}" id="{63B48B85-DECA-445B-A216-B6498892DCD5}">
    <text>Projected to reach USD 5256.6 Million by 2027 as per the article
Reference assumed - CAGR of 2.6 % till the year 2027 https://www.prnewswire.com/news-releases/medical-electronics-market-size-to-reach-usd-5256-6-million-by-2027-at-cagr-2-6---valuates-reports-301268927.html</text>
  </threadedComment>
  <threadedComment ref="AF30" dT="2022-05-12T07:02:34.48" personId="{CA9FF493-EE46-4EBE-98EF-A0B3D72B9735}" id="{3D22F1CD-FA64-4AF9-93B2-CC05EAE0C0F7}">
    <text>Projected to reach USD 5256.6 Million by 2027 as per the article
Assumed to continue at - CAGR of 2.6 % till the year 2030 (Post the year 2027)https://www.prnewswire.com/news-releases/medical-electronics-market-size-to-reach-usd-5256-6-million-by-2027-at-cagr-2-6---valuates-reports-301268927.html</text>
  </threadedComment>
  <threadedComment ref="AI30" dT="2022-05-12T07:02:34.48" personId="{CA9FF493-EE46-4EBE-98EF-A0B3D72B9735}" id="{3496266B-66D6-4D46-B3A1-DE3E93B40C4B}">
    <text>Projected to reach USD 5256.6 Million by 2027 as per the article
Assumed to continue at - CAGR of 2.6 % till the year 2030 (Post the year 2027)https://www.prnewswire.com/news-releases/medical-electronics-market-size-to-reach-usd-5256-6-million-by-2027-at-cagr-2-6---valuates-reports-301268927.html</text>
  </threadedComment>
  <threadedComment ref="AL30" dT="2022-05-12T07:02:34.48" personId="{CA9FF493-EE46-4EBE-98EF-A0B3D72B9735}" id="{AC4E6D96-49C7-40C2-8FBC-43E8D6C52599}">
    <text>Projected to reach USD 5256.6 Million by 2027 as per the article
Assumed to continue at - CAGR of 2.6 % till the year 2030 (Post the year 2027)https://www.prnewswire.com/news-releases/medical-electronics-market-size-to-reach-usd-5256-6-million-by-2027-at-cagr-2-6---valuates-reports-301268927.html</text>
  </threadedComment>
  <threadedComment ref="N33" dT="2022-05-11T10:03:36.25" personId="{CA9FF493-EE46-4EBE-98EF-A0B3D72B9735}" id="{D697C2C9-0DEE-4B28-B1B5-23D12CFEC7D5}">
    <text>Considered at 0 assuming that the capiticity utilization would start in the coming year 2023-24</text>
  </threadedComment>
  <threadedComment ref="Q33" dT="2022-05-11T09:12:12.42" personId="{CA9FF493-EE46-4EBE-98EF-A0B3D72B9735}" id="{29BD089F-C2B0-41A4-B518-8E89DBC4AC63}">
    <text>Assuming 1 Billion is 100 Crores and the calculation is made as per 250 + 50 Crores INR</text>
  </threadedComment>
  <threadedComment ref="T33" dT="2022-05-11T10:05:01.47" personId="{CA9FF493-EE46-4EBE-98EF-A0B3D72B9735}" id="{BFE5CBE2-CFB2-44CD-B212-2FC5FAE8F517}">
    <text>Assuming 1 Billion is 100 Crores and the calculation is made as per 500 + 100 Crores INR 600 Crores</text>
  </threadedComment>
  <threadedComment ref="W33" dT="2022-05-11T10:14:53.43" personId="{CA9FF493-EE46-4EBE-98EF-A0B3D72B9735}" id="{A82D5434-32A3-49F4-BC80-2284BE0DBE8B}">
    <text>Assuming 1 Billion is 100 Crores and the calculation is made as per 1000 + 200 Crores INR 1200 Crores</text>
  </threadedComment>
  <threadedComment ref="Z33" dT="2022-05-11T10:16:43.56" personId="{CA9FF493-EE46-4EBE-98EF-A0B3D72B9735}" id="{21567EE2-4E56-43E4-8B34-006383E575FD}">
    <text>Assuming 1 Billion is 100 Crores and the calculation is made as per 2000 + 300 Crores INR 2300 Crores</text>
  </threadedComment>
  <threadedComment ref="AC33" dT="2022-05-11T10:34:08.60" personId="{CA9FF493-EE46-4EBE-98EF-A0B3D72B9735}" id="{268F7A32-0FFB-4F5B-B5A2-C1D0C2341ABE}">
    <text>Assuming 1 Billion is 100 Crores and the calculation is made as per 3000 + 400 Crores INR 3400 Crores</text>
  </threadedComment>
  <threadedComment ref="E58" dT="2022-05-11T05:16:43.38" personId="{CA9FF493-EE46-4EBE-98EF-A0B3D72B9735}" id="{635924CC-AF56-40A7-BC60-F0BA3B68AFD7}">
    <text>Karnataka revenue share considered at 20% of India value and for employment it is considered at 15%</text>
  </threadedComment>
  <threadedComment ref="F58" dT="2022-05-11T05:17:18.30" personId="{CA9FF493-EE46-4EBE-98EF-A0B3D72B9735}" id="{9794C047-B6AC-417E-BE77-9895E954774C}">
    <text>Growth rate considered at 12%</text>
  </threadedComment>
</ThreadedComments>
</file>

<file path=xl/threadedComments/threadedComment7.xml><?xml version="1.0" encoding="utf-8"?>
<ThreadedComments xmlns="http://schemas.microsoft.com/office/spreadsheetml/2018/threadedcomments" xmlns:x="http://schemas.openxmlformats.org/spreadsheetml/2006/main">
  <threadedComment ref="C21" dT="2022-05-17T05:39:27.57" personId="{CA9FF493-EE46-4EBE-98EF-A0B3D72B9735}" id="{CFEFB833-8F58-401C-94B3-594524EDCD9E}">
    <text>11.2 Mn converted to Bn</text>
  </threadedComment>
  <threadedComment ref="C30" dT="2022-05-23T09:37:18.03" personId="{CA9FF493-EE46-4EBE-98EF-A0B3D72B9735}" id="{B6923ACB-25B2-4CF9-94C1-DFF3A3D029B5}">
    <text>536.1 Mn converted to Bn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statista.com/statistics/268750/global-gross-domestic-product-gdp/" TargetMode="External"/><Relationship Id="rId1" Type="http://schemas.openxmlformats.org/officeDocument/2006/relationships/hyperlink" Target="https://www.icicidirect.com/calculators/cagr-calculator" TargetMode="External"/><Relationship Id="rId6" Type="http://schemas.microsoft.com/office/2017/10/relationships/threadedComment" Target="../threadedComments/threadedComment5.xm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6.bin"/><Relationship Id="rId5" Type="http://schemas.microsoft.com/office/2017/10/relationships/threadedComment" Target="../threadedComments/threadedComment6.xml"/><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6.xml"/><Relationship Id="rId1" Type="http://schemas.openxmlformats.org/officeDocument/2006/relationships/printerSettings" Target="../printerSettings/printerSettings7.bin"/><Relationship Id="rId5" Type="http://schemas.microsoft.com/office/2017/10/relationships/threadedComment" Target="../threadedComments/threadedComment7.xml"/><Relationship Id="rId4"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71E19-A2A4-452F-82BE-A07538113241}">
  <dimension ref="B3:K45"/>
  <sheetViews>
    <sheetView topLeftCell="A15" workbookViewId="0">
      <selection activeCell="D34" sqref="D34"/>
    </sheetView>
  </sheetViews>
  <sheetFormatPr defaultRowHeight="14.4" x14ac:dyDescent="0.3"/>
  <cols>
    <col min="3" max="3" width="56.6640625" customWidth="1"/>
    <col min="4" max="4" width="19.77734375" customWidth="1"/>
    <col min="5" max="5" width="22.21875" customWidth="1"/>
    <col min="6" max="6" width="28" customWidth="1"/>
    <col min="7" max="7" width="32.77734375" bestFit="1" customWidth="1"/>
    <col min="8" max="8" width="31.44140625" bestFit="1" customWidth="1"/>
    <col min="11" max="11" width="13.21875" customWidth="1"/>
  </cols>
  <sheetData>
    <row r="3" spans="2:11" x14ac:dyDescent="0.3">
      <c r="C3" s="94" t="s">
        <v>80</v>
      </c>
      <c r="D3" s="94"/>
      <c r="E3" s="94"/>
      <c r="F3" s="94"/>
      <c r="G3" s="94"/>
      <c r="H3" s="94"/>
    </row>
    <row r="4" spans="2:11" x14ac:dyDescent="0.3">
      <c r="B4">
        <v>1</v>
      </c>
      <c r="C4" t="s">
        <v>77</v>
      </c>
    </row>
    <row r="5" spans="2:11" x14ac:dyDescent="0.3">
      <c r="B5">
        <v>2</v>
      </c>
      <c r="C5" t="s">
        <v>78</v>
      </c>
    </row>
    <row r="6" spans="2:11" x14ac:dyDescent="0.3">
      <c r="B6">
        <v>3</v>
      </c>
      <c r="C6" t="s">
        <v>79</v>
      </c>
    </row>
    <row r="7" spans="2:11" x14ac:dyDescent="0.3">
      <c r="B7">
        <v>4</v>
      </c>
      <c r="C7" t="s">
        <v>93</v>
      </c>
    </row>
    <row r="9" spans="2:11" x14ac:dyDescent="0.3">
      <c r="C9" s="94" t="s">
        <v>100</v>
      </c>
      <c r="D9" s="94"/>
      <c r="E9" s="94"/>
      <c r="F9" s="94"/>
      <c r="G9" s="94"/>
      <c r="H9" s="94"/>
    </row>
    <row r="10" spans="2:11" x14ac:dyDescent="0.3">
      <c r="B10">
        <v>1</v>
      </c>
      <c r="C10" t="s">
        <v>147</v>
      </c>
    </row>
    <row r="11" spans="2:11" x14ac:dyDescent="0.3">
      <c r="B11">
        <v>2</v>
      </c>
      <c r="C11" t="s">
        <v>148</v>
      </c>
    </row>
    <row r="12" spans="2:11" x14ac:dyDescent="0.3">
      <c r="B12">
        <v>3</v>
      </c>
      <c r="C12" t="s">
        <v>81</v>
      </c>
    </row>
    <row r="13" spans="2:11" x14ac:dyDescent="0.3">
      <c r="B13">
        <v>4</v>
      </c>
      <c r="C13" t="s">
        <v>82</v>
      </c>
    </row>
    <row r="15" spans="2:11" ht="15" thickBot="1" x14ac:dyDescent="0.35"/>
    <row r="16" spans="2:11" ht="16.8" thickTop="1" thickBot="1" x14ac:dyDescent="0.35">
      <c r="C16" s="95" t="s">
        <v>86</v>
      </c>
      <c r="D16" s="95"/>
      <c r="E16" s="95"/>
      <c r="F16" s="95"/>
      <c r="H16" s="95" t="s">
        <v>158</v>
      </c>
      <c r="I16" s="95"/>
      <c r="J16" s="95"/>
      <c r="K16" s="95"/>
    </row>
    <row r="17" spans="3:8" ht="15.6" thickTop="1" thickBot="1" x14ac:dyDescent="0.35">
      <c r="C17" s="2"/>
      <c r="D17" s="2"/>
      <c r="E17" s="2"/>
      <c r="F17" s="2"/>
    </row>
    <row r="18" spans="3:8" ht="16.8" thickTop="1" thickBot="1" x14ac:dyDescent="0.35">
      <c r="C18" s="2"/>
      <c r="D18" s="2"/>
      <c r="E18" s="82" t="s">
        <v>33</v>
      </c>
      <c r="F18" s="82" t="s">
        <v>34</v>
      </c>
      <c r="H18" t="s">
        <v>159</v>
      </c>
    </row>
    <row r="19" spans="3:8" ht="15.6" thickTop="1" thickBot="1" x14ac:dyDescent="0.35">
      <c r="C19" s="2" t="s">
        <v>160</v>
      </c>
      <c r="D19" s="2"/>
      <c r="E19" s="19">
        <v>0.12</v>
      </c>
      <c r="F19" s="19">
        <v>0.1</v>
      </c>
      <c r="H19" t="s">
        <v>35</v>
      </c>
    </row>
    <row r="20" spans="3:8" ht="15.6" thickTop="1" thickBot="1" x14ac:dyDescent="0.35">
      <c r="C20" s="2" t="s">
        <v>161</v>
      </c>
      <c r="D20" s="2"/>
      <c r="E20" s="19">
        <v>0.15</v>
      </c>
      <c r="F20" s="19">
        <v>0.12</v>
      </c>
      <c r="H20" t="s">
        <v>9</v>
      </c>
    </row>
    <row r="21" spans="3:8" ht="15.6" thickTop="1" thickBot="1" x14ac:dyDescent="0.35">
      <c r="C21" s="2" t="s">
        <v>37</v>
      </c>
      <c r="D21" s="2"/>
      <c r="E21" s="19">
        <v>0.3</v>
      </c>
      <c r="F21" s="19">
        <v>0.2</v>
      </c>
      <c r="H21" t="s">
        <v>94</v>
      </c>
    </row>
    <row r="22" spans="3:8" ht="15.6" thickTop="1" thickBot="1" x14ac:dyDescent="0.35">
      <c r="C22" s="2" t="s">
        <v>36</v>
      </c>
      <c r="D22" s="99" t="s">
        <v>169</v>
      </c>
      <c r="E22" s="100"/>
      <c r="F22" s="101"/>
      <c r="G22" s="81"/>
    </row>
    <row r="23" spans="3:8" ht="15.6" thickTop="1" thickBot="1" x14ac:dyDescent="0.35">
      <c r="C23" s="2"/>
      <c r="D23" s="2"/>
      <c r="E23" s="19"/>
      <c r="F23" s="19"/>
    </row>
    <row r="24" spans="3:8" ht="15.6" thickTop="1" thickBot="1" x14ac:dyDescent="0.35">
      <c r="E24" s="72"/>
      <c r="F24" s="72"/>
    </row>
    <row r="25" spans="3:8" ht="32.4" thickTop="1" thickBot="1" x14ac:dyDescent="0.35">
      <c r="E25" s="75" t="s">
        <v>150</v>
      </c>
      <c r="F25" s="75" t="s">
        <v>151</v>
      </c>
    </row>
    <row r="26" spans="3:8" ht="16.5" customHeight="1" thickTop="1" thickBot="1" x14ac:dyDescent="0.35">
      <c r="C26" s="22" t="s">
        <v>41</v>
      </c>
      <c r="D26" s="75" t="s">
        <v>149</v>
      </c>
      <c r="E26" s="73" t="s">
        <v>33</v>
      </c>
      <c r="F26" s="75" t="s">
        <v>33</v>
      </c>
      <c r="G26" s="75" t="s">
        <v>156</v>
      </c>
      <c r="H26" s="75" t="s">
        <v>157</v>
      </c>
    </row>
    <row r="27" spans="3:8" ht="15.6" thickTop="1" thickBot="1" x14ac:dyDescent="0.35">
      <c r="C27" s="20" t="s">
        <v>109</v>
      </c>
      <c r="D27" s="76">
        <v>6.5000000000000002E-2</v>
      </c>
      <c r="E27" s="2">
        <v>23.59</v>
      </c>
      <c r="F27" s="2">
        <v>17.72</v>
      </c>
      <c r="G27" s="77">
        <v>0.15</v>
      </c>
      <c r="H27" s="77">
        <v>0.1</v>
      </c>
    </row>
    <row r="28" spans="3:8" ht="15.45" customHeight="1" thickTop="1" thickBot="1" x14ac:dyDescent="0.35">
      <c r="C28" s="20" t="s">
        <v>110</v>
      </c>
      <c r="D28" s="77">
        <v>0.1</v>
      </c>
      <c r="E28" s="74">
        <v>18.8</v>
      </c>
      <c r="F28" s="2">
        <v>17.760000000000002</v>
      </c>
      <c r="G28" s="77">
        <v>0.15</v>
      </c>
      <c r="H28" s="77">
        <v>0.1</v>
      </c>
    </row>
    <row r="29" spans="3:8" ht="15.6" thickTop="1" thickBot="1" x14ac:dyDescent="0.35">
      <c r="C29" s="20" t="s">
        <v>111</v>
      </c>
      <c r="D29" s="77">
        <v>0.15</v>
      </c>
      <c r="E29" s="2">
        <v>24.5</v>
      </c>
      <c r="F29" s="2">
        <v>21</v>
      </c>
      <c r="G29" s="77">
        <v>0.15</v>
      </c>
      <c r="H29" s="77">
        <v>0.1</v>
      </c>
    </row>
    <row r="30" spans="3:8" ht="15.6" thickTop="1" thickBot="1" x14ac:dyDescent="0.35">
      <c r="C30" s="20" t="s">
        <v>112</v>
      </c>
      <c r="D30" s="77">
        <v>0.08</v>
      </c>
      <c r="E30" s="2">
        <v>20</v>
      </c>
      <c r="F30" s="2">
        <v>49.5</v>
      </c>
      <c r="G30" s="77">
        <v>0.15</v>
      </c>
      <c r="H30" s="77">
        <v>0.1</v>
      </c>
    </row>
    <row r="31" spans="3:8" ht="15.6" thickTop="1" thickBot="1" x14ac:dyDescent="0.35">
      <c r="C31" s="20" t="s">
        <v>113</v>
      </c>
      <c r="D31" s="77">
        <v>0.05</v>
      </c>
      <c r="E31" s="2">
        <v>40</v>
      </c>
      <c r="F31" s="2">
        <v>36.78</v>
      </c>
      <c r="G31" s="77">
        <v>0.15</v>
      </c>
      <c r="H31" s="77">
        <v>0.1</v>
      </c>
    </row>
    <row r="32" spans="3:8" ht="15.6" thickTop="1" thickBot="1" x14ac:dyDescent="0.35">
      <c r="C32" s="20" t="s">
        <v>114</v>
      </c>
      <c r="D32" s="77">
        <v>0.08</v>
      </c>
      <c r="E32" s="2">
        <v>96</v>
      </c>
      <c r="F32" s="2">
        <v>82</v>
      </c>
      <c r="G32" s="77">
        <v>0.15</v>
      </c>
      <c r="H32" s="77">
        <v>0.1</v>
      </c>
    </row>
    <row r="33" spans="3:8" ht="15.6" thickTop="1" thickBot="1" x14ac:dyDescent="0.35">
      <c r="C33" s="20" t="s">
        <v>115</v>
      </c>
      <c r="D33" s="77">
        <v>0.08</v>
      </c>
      <c r="E33" s="2">
        <v>40</v>
      </c>
      <c r="F33" s="2">
        <v>40</v>
      </c>
      <c r="G33" s="77">
        <v>0.15</v>
      </c>
      <c r="H33" s="77">
        <v>0.1</v>
      </c>
    </row>
    <row r="34" spans="3:8" ht="15.6" thickTop="1" thickBot="1" x14ac:dyDescent="0.35">
      <c r="C34" s="20" t="s">
        <v>116</v>
      </c>
      <c r="D34" s="77">
        <v>0.1</v>
      </c>
      <c r="E34" s="2">
        <v>45</v>
      </c>
      <c r="F34" s="2">
        <v>62.66</v>
      </c>
      <c r="G34" s="77">
        <v>0.15</v>
      </c>
      <c r="H34" s="77">
        <v>0.1</v>
      </c>
    </row>
    <row r="35" spans="3:8" ht="15.6" thickTop="1" thickBot="1" x14ac:dyDescent="0.35">
      <c r="C35" s="20" t="s">
        <v>117</v>
      </c>
      <c r="D35" s="77">
        <v>0.06</v>
      </c>
      <c r="E35" s="2">
        <v>70</v>
      </c>
      <c r="F35" s="2">
        <v>80</v>
      </c>
      <c r="G35" s="77">
        <v>0.15</v>
      </c>
      <c r="H35" s="77">
        <v>0.1</v>
      </c>
    </row>
    <row r="36" spans="3:8" ht="15.6" thickTop="1" thickBot="1" x14ac:dyDescent="0.35">
      <c r="C36" s="20" t="s">
        <v>118</v>
      </c>
      <c r="D36" s="77">
        <v>0.13</v>
      </c>
      <c r="E36" s="2">
        <v>75</v>
      </c>
      <c r="F36" s="2">
        <v>88</v>
      </c>
      <c r="G36" s="77">
        <v>0.15</v>
      </c>
      <c r="H36" s="77">
        <v>0.1</v>
      </c>
    </row>
    <row r="37" spans="3:8" ht="15.6" thickTop="1" thickBot="1" x14ac:dyDescent="0.35">
      <c r="C37" s="20" t="s">
        <v>119</v>
      </c>
      <c r="D37" s="77">
        <v>0.09</v>
      </c>
      <c r="E37" s="2">
        <v>85</v>
      </c>
      <c r="F37" s="2">
        <v>118</v>
      </c>
      <c r="G37" s="77">
        <v>0.15</v>
      </c>
      <c r="H37" s="77">
        <v>0.1</v>
      </c>
    </row>
    <row r="38" spans="3:8" ht="15.6" thickTop="1" thickBot="1" x14ac:dyDescent="0.35">
      <c r="C38" s="20" t="s">
        <v>120</v>
      </c>
      <c r="D38" s="77">
        <v>0.06</v>
      </c>
      <c r="E38" s="2">
        <v>110</v>
      </c>
      <c r="F38" s="2">
        <v>118</v>
      </c>
      <c r="G38" s="77">
        <v>0.15</v>
      </c>
      <c r="H38" s="77">
        <v>0.1</v>
      </c>
    </row>
    <row r="39" spans="3:8" ht="15.6" thickTop="1" thickBot="1" x14ac:dyDescent="0.35">
      <c r="C39" s="20" t="s">
        <v>121</v>
      </c>
      <c r="D39" s="77">
        <v>0.05</v>
      </c>
      <c r="E39" s="2">
        <v>23.59</v>
      </c>
      <c r="F39" s="2">
        <v>187</v>
      </c>
      <c r="G39" s="77">
        <v>0.15</v>
      </c>
      <c r="H39" s="77">
        <v>0.1</v>
      </c>
    </row>
    <row r="40" spans="3:8" ht="15.6" thickTop="1" thickBot="1" x14ac:dyDescent="0.35">
      <c r="C40" s="20" t="s">
        <v>124</v>
      </c>
      <c r="D40" s="76">
        <v>6.5000000000000002E-2</v>
      </c>
      <c r="E40" s="2">
        <v>110</v>
      </c>
      <c r="F40" s="2">
        <v>68.180000000000007</v>
      </c>
      <c r="G40" s="77">
        <v>0.15</v>
      </c>
      <c r="H40" s="77">
        <v>0.1</v>
      </c>
    </row>
    <row r="41" spans="3:8" ht="15.6" thickTop="1" thickBot="1" x14ac:dyDescent="0.35">
      <c r="C41" s="20" t="s">
        <v>125</v>
      </c>
      <c r="D41" s="76">
        <v>6.5000000000000002E-2</v>
      </c>
      <c r="E41" s="2">
        <v>110</v>
      </c>
      <c r="F41" s="2">
        <v>105</v>
      </c>
      <c r="G41" s="77">
        <v>0.15</v>
      </c>
      <c r="H41" s="77">
        <v>0.1</v>
      </c>
    </row>
    <row r="42" spans="3:8" ht="15.6" thickTop="1" thickBot="1" x14ac:dyDescent="0.35">
      <c r="C42" s="20" t="s">
        <v>122</v>
      </c>
      <c r="D42" s="77">
        <v>0.08</v>
      </c>
      <c r="E42" s="2">
        <v>141</v>
      </c>
      <c r="F42" s="2">
        <v>116.57</v>
      </c>
      <c r="G42" s="77">
        <v>0.15</v>
      </c>
      <c r="H42" s="77">
        <v>0.1</v>
      </c>
    </row>
    <row r="43" spans="3:8" ht="15.6" thickTop="1" thickBot="1" x14ac:dyDescent="0.35">
      <c r="C43" s="20" t="s">
        <v>123</v>
      </c>
      <c r="D43" s="77">
        <v>0.09</v>
      </c>
      <c r="E43" s="2">
        <v>200</v>
      </c>
      <c r="F43" s="2">
        <v>227</v>
      </c>
      <c r="G43" s="77">
        <v>0.15</v>
      </c>
      <c r="H43" s="77">
        <v>0.1</v>
      </c>
    </row>
    <row r="44" spans="3:8" ht="15.6" thickTop="1" thickBot="1" x14ac:dyDescent="0.35">
      <c r="C44" s="96" t="s">
        <v>58</v>
      </c>
      <c r="D44" s="97"/>
      <c r="E44" s="97"/>
      <c r="F44" s="98"/>
    </row>
    <row r="45" spans="3:8" ht="15" thickTop="1" x14ac:dyDescent="0.3"/>
  </sheetData>
  <mergeCells count="6">
    <mergeCell ref="C3:H3"/>
    <mergeCell ref="C9:H9"/>
    <mergeCell ref="C16:F16"/>
    <mergeCell ref="C44:F44"/>
    <mergeCell ref="H16:K16"/>
    <mergeCell ref="D22:F22"/>
  </mergeCells>
  <pageMargins left="0.7" right="0.7" top="0.75" bottom="0.75" header="0.3" footer="0.3"/>
  <pageSetup orientation="portrait" horizontalDpi="1200" verticalDpi="12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58DA5-7B82-4A69-80D2-644C8503BC1E}">
  <dimension ref="A1:BG85"/>
  <sheetViews>
    <sheetView zoomScaleNormal="100" workbookViewId="0">
      <selection activeCell="L5" sqref="L5"/>
    </sheetView>
  </sheetViews>
  <sheetFormatPr defaultRowHeight="14.4" x14ac:dyDescent="0.3"/>
  <cols>
    <col min="3" max="3" width="50.44140625" bestFit="1" customWidth="1"/>
    <col min="4" max="4" width="10.77734375" customWidth="1"/>
    <col min="5" max="5" width="17.21875" customWidth="1"/>
    <col min="6" max="6" width="23.21875" customWidth="1"/>
    <col min="7" max="7" width="17.77734375" bestFit="1" customWidth="1"/>
    <col min="8" max="8" width="14.21875" customWidth="1"/>
    <col min="9" max="9" width="16.109375" bestFit="1" customWidth="1"/>
    <col min="10" max="10" width="11.109375" customWidth="1"/>
    <col min="11" max="11" width="13.5546875" bestFit="1" customWidth="1"/>
    <col min="12" max="12" width="16.109375" bestFit="1" customWidth="1"/>
    <col min="13" max="13" width="46.44140625" bestFit="1" customWidth="1"/>
    <col min="14" max="14" width="9.5546875" bestFit="1" customWidth="1"/>
    <col min="15" max="15" width="9.21875" bestFit="1" customWidth="1"/>
    <col min="16" max="16" width="16.109375" bestFit="1" customWidth="1"/>
    <col min="17" max="17" width="11.77734375" customWidth="1"/>
    <col min="18" max="18" width="9.21875" bestFit="1" customWidth="1"/>
    <col min="19" max="19" width="16.109375" bestFit="1" customWidth="1"/>
    <col min="20" max="21" width="10.77734375" bestFit="1" customWidth="1"/>
    <col min="22" max="22" width="16.109375" bestFit="1" customWidth="1"/>
    <col min="23" max="23" width="12.88671875" bestFit="1" customWidth="1"/>
    <col min="24" max="24" width="10.6640625" customWidth="1"/>
    <col min="25" max="25" width="16.109375" bestFit="1" customWidth="1"/>
    <col min="26" max="26" width="11.21875" customWidth="1"/>
    <col min="27" max="27" width="14.5546875" customWidth="1"/>
    <col min="28" max="28" width="16.21875" customWidth="1"/>
    <col min="29" max="29" width="10.21875" customWidth="1"/>
    <col min="30" max="30" width="13.21875" customWidth="1"/>
    <col min="31" max="31" width="17.21875" customWidth="1"/>
    <col min="32" max="32" width="11.88671875" customWidth="1"/>
    <col min="33" max="33" width="12.77734375" customWidth="1"/>
    <col min="34" max="34" width="16.21875" customWidth="1"/>
    <col min="35" max="35" width="11" customWidth="1"/>
    <col min="36" max="36" width="12.77734375" customWidth="1"/>
    <col min="37" max="37" width="16.33203125" customWidth="1"/>
    <col min="38" max="38" width="11.109375" customWidth="1"/>
    <col min="39" max="39" width="11.21875" customWidth="1"/>
    <col min="40" max="40" width="16.44140625" customWidth="1"/>
  </cols>
  <sheetData>
    <row r="1" spans="2:59" ht="18" x14ac:dyDescent="0.35">
      <c r="C1" s="21" t="s">
        <v>42</v>
      </c>
    </row>
    <row r="2" spans="2:59" ht="15" thickBot="1" x14ac:dyDescent="0.35">
      <c r="C2" s="13" t="s">
        <v>29</v>
      </c>
      <c r="P2">
        <f>O10*25%</f>
        <v>1.3</v>
      </c>
      <c r="AA2">
        <f>0.08</f>
        <v>0.08</v>
      </c>
    </row>
    <row r="3" spans="2:59" ht="16.8" thickTop="1" thickBot="1" x14ac:dyDescent="0.35">
      <c r="C3" s="5" t="s">
        <v>12</v>
      </c>
      <c r="D3" s="2"/>
      <c r="E3" s="2"/>
      <c r="F3" s="2"/>
      <c r="G3" s="2"/>
      <c r="H3" s="2"/>
      <c r="I3" s="2"/>
      <c r="M3" s="80" t="s">
        <v>155</v>
      </c>
      <c r="O3">
        <f>N10*40%</f>
        <v>5.2</v>
      </c>
      <c r="P3">
        <f>N9*20%</f>
        <v>24.314883298976</v>
      </c>
      <c r="Q3" t="s">
        <v>43</v>
      </c>
      <c r="AA3">
        <v>0.2</v>
      </c>
      <c r="AB3">
        <f>AA3-AA2</f>
        <v>0.12000000000000001</v>
      </c>
      <c r="AC3">
        <f>AB3/AA2*100</f>
        <v>150</v>
      </c>
    </row>
    <row r="4" spans="2:59" ht="15.6" thickTop="1" thickBot="1" x14ac:dyDescent="0.35">
      <c r="C4" s="14" t="s">
        <v>17</v>
      </c>
      <c r="D4" s="4"/>
      <c r="E4" s="4"/>
      <c r="F4" s="2"/>
      <c r="G4" s="2"/>
      <c r="H4" s="2"/>
      <c r="I4" s="2"/>
      <c r="AQ4" t="s">
        <v>197</v>
      </c>
    </row>
    <row r="5" spans="2:59" ht="19.2" thickTop="1" thickBot="1" x14ac:dyDescent="0.4">
      <c r="C5" s="4" t="s">
        <v>48</v>
      </c>
      <c r="D5" s="4" t="s">
        <v>10</v>
      </c>
      <c r="E5" s="4" t="s">
        <v>11</v>
      </c>
      <c r="F5" s="2"/>
      <c r="G5" s="4" t="s">
        <v>20</v>
      </c>
      <c r="H5" s="2"/>
      <c r="I5" s="4" t="s">
        <v>21</v>
      </c>
      <c r="M5" s="6" t="s">
        <v>40</v>
      </c>
      <c r="N5" s="102" t="s">
        <v>1</v>
      </c>
      <c r="O5" s="102"/>
      <c r="P5" s="102"/>
      <c r="Q5" s="102" t="s">
        <v>2</v>
      </c>
      <c r="R5" s="102"/>
      <c r="S5" s="102"/>
      <c r="T5" s="102" t="s">
        <v>3</v>
      </c>
      <c r="U5" s="102"/>
      <c r="V5" s="102"/>
      <c r="W5" s="102" t="s">
        <v>0</v>
      </c>
      <c r="X5" s="102"/>
      <c r="Y5" s="102"/>
      <c r="Z5" s="102" t="s">
        <v>4</v>
      </c>
      <c r="AA5" s="102"/>
      <c r="AB5" s="102"/>
      <c r="AC5" s="102" t="s">
        <v>5</v>
      </c>
      <c r="AD5" s="102"/>
      <c r="AE5" s="102"/>
      <c r="AF5" s="102" t="s">
        <v>6</v>
      </c>
      <c r="AG5" s="102"/>
      <c r="AH5" s="102"/>
      <c r="AI5" s="102" t="s">
        <v>7</v>
      </c>
      <c r="AJ5" s="102"/>
      <c r="AK5" s="102"/>
      <c r="AL5" s="102" t="s">
        <v>8</v>
      </c>
      <c r="AM5" s="102"/>
      <c r="AN5" s="102"/>
      <c r="AQ5" t="s">
        <v>8</v>
      </c>
      <c r="AR5" t="s">
        <v>195</v>
      </c>
      <c r="AS5" t="s">
        <v>196</v>
      </c>
      <c r="AT5" s="67" t="s">
        <v>178</v>
      </c>
      <c r="AU5" s="67" t="s">
        <v>179</v>
      </c>
      <c r="AV5" s="67" t="s">
        <v>180</v>
      </c>
      <c r="AW5" s="67" t="s">
        <v>181</v>
      </c>
      <c r="AX5" s="67" t="s">
        <v>182</v>
      </c>
      <c r="AY5" s="67" t="s">
        <v>183</v>
      </c>
      <c r="AZ5" s="67" t="s">
        <v>184</v>
      </c>
      <c r="BA5" s="67" t="s">
        <v>185</v>
      </c>
      <c r="BB5" s="67" t="s">
        <v>186</v>
      </c>
      <c r="BC5" s="67" t="s">
        <v>187</v>
      </c>
      <c r="BD5" s="67" t="s">
        <v>188</v>
      </c>
      <c r="BE5" s="67" t="s">
        <v>189</v>
      </c>
      <c r="BF5" s="67" t="s">
        <v>190</v>
      </c>
      <c r="BG5" s="67" t="s">
        <v>191</v>
      </c>
    </row>
    <row r="6" spans="2:59" s="1" customFormat="1" ht="19.2" thickTop="1" thickBot="1" x14ac:dyDescent="0.4">
      <c r="C6" s="16"/>
      <c r="D6" s="16"/>
      <c r="E6" s="16"/>
      <c r="F6" s="16"/>
      <c r="G6" s="16"/>
      <c r="H6" s="16"/>
      <c r="I6" s="16"/>
      <c r="M6" s="17" t="s">
        <v>25</v>
      </c>
      <c r="N6" s="16" t="s">
        <v>10</v>
      </c>
      <c r="O6" s="16" t="s">
        <v>11</v>
      </c>
      <c r="P6" s="16" t="s">
        <v>20</v>
      </c>
      <c r="Q6" s="16" t="s">
        <v>10</v>
      </c>
      <c r="R6" s="16" t="s">
        <v>11</v>
      </c>
      <c r="S6" s="16" t="s">
        <v>20</v>
      </c>
      <c r="T6" s="16" t="s">
        <v>10</v>
      </c>
      <c r="U6" s="16" t="s">
        <v>11</v>
      </c>
      <c r="V6" s="16" t="s">
        <v>20</v>
      </c>
      <c r="W6" s="16" t="s">
        <v>10</v>
      </c>
      <c r="X6" s="16" t="s">
        <v>11</v>
      </c>
      <c r="Y6" s="16" t="s">
        <v>20</v>
      </c>
      <c r="Z6" s="16" t="s">
        <v>10</v>
      </c>
      <c r="AA6" s="16" t="s">
        <v>11</v>
      </c>
      <c r="AB6" s="16" t="s">
        <v>20</v>
      </c>
      <c r="AC6" s="16" t="s">
        <v>10</v>
      </c>
      <c r="AD6" s="85" t="s">
        <v>11</v>
      </c>
      <c r="AE6" s="16" t="s">
        <v>20</v>
      </c>
      <c r="AF6" s="16" t="s">
        <v>10</v>
      </c>
      <c r="AG6" s="85" t="s">
        <v>11</v>
      </c>
      <c r="AH6" s="16" t="s">
        <v>20</v>
      </c>
      <c r="AI6" s="16" t="s">
        <v>10</v>
      </c>
      <c r="AJ6" s="16" t="s">
        <v>11</v>
      </c>
      <c r="AK6" s="16" t="s">
        <v>20</v>
      </c>
      <c r="AL6" s="16" t="s">
        <v>10</v>
      </c>
      <c r="AM6" s="16" t="s">
        <v>11</v>
      </c>
      <c r="AN6" s="16" t="s">
        <v>20</v>
      </c>
    </row>
    <row r="7" spans="2:59" ht="15.6" thickTop="1" thickBot="1" x14ac:dyDescent="0.35">
      <c r="C7" s="2" t="s">
        <v>22</v>
      </c>
      <c r="D7" s="2">
        <v>178</v>
      </c>
      <c r="E7" s="2">
        <f>D7*38%</f>
        <v>67.64</v>
      </c>
      <c r="F7" s="2"/>
      <c r="G7" s="8">
        <f>'Beyond Bengaluru Workings'!D9</f>
        <v>2</v>
      </c>
      <c r="H7" s="2"/>
      <c r="I7" s="8">
        <f>E7-G7</f>
        <v>65.64</v>
      </c>
      <c r="M7" s="2" t="s">
        <v>22</v>
      </c>
      <c r="N7" s="2">
        <f t="shared" ref="N7:O7" si="0">D7+12%*D7</f>
        <v>199.36</v>
      </c>
      <c r="O7" s="2">
        <f t="shared" si="0"/>
        <v>75.756799999999998</v>
      </c>
      <c r="P7" s="8">
        <f>'Beyond Bengaluru Workings'!E9</f>
        <v>2.5</v>
      </c>
      <c r="Q7" s="3">
        <f t="shared" ref="Q7:R7" si="1">N7+12%*N7</f>
        <v>223.28320000000002</v>
      </c>
      <c r="R7" s="3">
        <f t="shared" si="1"/>
        <v>84.847616000000002</v>
      </c>
      <c r="S7" s="3">
        <f>'Beyond Bengaluru Workings'!F9</f>
        <v>3.125</v>
      </c>
      <c r="T7" s="3">
        <f t="shared" ref="T7:U7" si="2">Q7+12%*Q7</f>
        <v>250.07718400000002</v>
      </c>
      <c r="U7" s="3">
        <f t="shared" si="2"/>
        <v>95.029329920000009</v>
      </c>
      <c r="V7" s="3">
        <f>'Beyond Bengaluru Workings'!G9</f>
        <v>3.90625</v>
      </c>
      <c r="W7" s="3">
        <f t="shared" ref="W7:X7" si="3">T7+12%*T7</f>
        <v>280.08644608000003</v>
      </c>
      <c r="X7" s="3">
        <f t="shared" si="3"/>
        <v>106.4328495104</v>
      </c>
      <c r="Y7" s="3">
        <f>'Beyond Bengaluru Workings'!H9</f>
        <v>4.8828125</v>
      </c>
      <c r="Z7" s="3">
        <f>W7+10%*W7</f>
        <v>308.09509068800003</v>
      </c>
      <c r="AA7" s="3">
        <f>X7+10%*X7</f>
        <v>117.07613446144001</v>
      </c>
      <c r="AB7" s="3">
        <f>'Beyond Bengaluru Workings'!I9</f>
        <v>5.771484375</v>
      </c>
      <c r="AC7" s="3">
        <f>Z7+10%*Z7</f>
        <v>338.90459975680005</v>
      </c>
      <c r="AD7" s="86">
        <f>AA7+25%*AA7</f>
        <v>146.34516807680001</v>
      </c>
      <c r="AE7" s="3">
        <f>'Beyond Bengaluru Workings'!J9</f>
        <v>6.8218945312499999</v>
      </c>
      <c r="AF7" s="3">
        <f>AC7+10%*AC7</f>
        <v>372.79505973248007</v>
      </c>
      <c r="AG7" s="86">
        <f>AD7+25%*AD7</f>
        <v>182.93146009600002</v>
      </c>
      <c r="AH7" s="3">
        <f>'Beyond Bengaluru Workings'!K9</f>
        <v>8.0634793359374992</v>
      </c>
      <c r="AI7" s="3">
        <f>AF7+10%*AF7</f>
        <v>410.07456570572811</v>
      </c>
      <c r="AJ7" s="86">
        <f>AG7+25%*AG7</f>
        <v>228.66432512000003</v>
      </c>
      <c r="AK7" s="3">
        <f>'Beyond Bengaluru Workings'!L9</f>
        <v>9.5310325750781235</v>
      </c>
      <c r="AL7" s="3">
        <f>AI7+10%*AI7</f>
        <v>451.0820222763009</v>
      </c>
      <c r="AM7" s="3">
        <f>AJ7+10%*AJ7</f>
        <v>251.53075763200002</v>
      </c>
      <c r="AN7" s="3">
        <f>AK7+15%*AK7</f>
        <v>10.960687461339841</v>
      </c>
      <c r="AP7" t="s">
        <v>198</v>
      </c>
      <c r="AQ7" s="29">
        <v>240.22600448</v>
      </c>
      <c r="AR7" s="29">
        <f>AQ7+15%*AQ7</f>
        <v>276.25990515199999</v>
      </c>
      <c r="AS7" s="29">
        <f t="shared" ref="AS7:BG7" si="4">AR7+15%*AR7</f>
        <v>317.69889092479997</v>
      </c>
      <c r="AT7" s="29">
        <f t="shared" si="4"/>
        <v>365.35372456351996</v>
      </c>
      <c r="AU7" s="29">
        <f t="shared" si="4"/>
        <v>420.15678324804793</v>
      </c>
      <c r="AV7" s="29">
        <f t="shared" si="4"/>
        <v>483.18030073525512</v>
      </c>
      <c r="AW7" s="29">
        <f t="shared" si="4"/>
        <v>555.65734584554343</v>
      </c>
      <c r="AX7" s="29">
        <f t="shared" si="4"/>
        <v>639.00594772237491</v>
      </c>
      <c r="AY7" s="29">
        <f t="shared" si="4"/>
        <v>734.85683988073117</v>
      </c>
      <c r="AZ7" s="29">
        <f t="shared" si="4"/>
        <v>845.08536586284083</v>
      </c>
      <c r="BA7" s="29">
        <f t="shared" si="4"/>
        <v>971.84817074226692</v>
      </c>
      <c r="BB7" s="29">
        <f t="shared" si="4"/>
        <v>1117.6253963536069</v>
      </c>
      <c r="BC7" s="29">
        <f t="shared" si="4"/>
        <v>1285.269205806648</v>
      </c>
      <c r="BD7" s="29">
        <f t="shared" si="4"/>
        <v>1478.0595866776453</v>
      </c>
      <c r="BE7" s="29">
        <f t="shared" si="4"/>
        <v>1699.7685246792921</v>
      </c>
      <c r="BF7" s="29">
        <f t="shared" si="4"/>
        <v>1954.7338033811859</v>
      </c>
      <c r="BG7" s="29">
        <f t="shared" si="4"/>
        <v>2247.9438738883637</v>
      </c>
    </row>
    <row r="8" spans="2:59" ht="15.6" thickTop="1" thickBot="1" x14ac:dyDescent="0.35">
      <c r="C8" s="2" t="s">
        <v>23</v>
      </c>
      <c r="D8" s="2">
        <v>49</v>
      </c>
      <c r="E8" s="2">
        <f>D8*30%</f>
        <v>14.7</v>
      </c>
      <c r="F8" s="2"/>
      <c r="G8" s="8"/>
      <c r="H8" s="2"/>
      <c r="I8" s="8">
        <f>E8-G8</f>
        <v>14.7</v>
      </c>
      <c r="M8" s="2" t="s">
        <v>23</v>
      </c>
      <c r="N8" s="2">
        <f>D8+15%*D8</f>
        <v>56.35</v>
      </c>
      <c r="O8" s="2">
        <f>E8+15%*E8</f>
        <v>16.904999999999998</v>
      </c>
      <c r="P8" s="8">
        <f>G8+20%*G8</f>
        <v>0</v>
      </c>
      <c r="Q8" s="3">
        <f>N8+15%*N8</f>
        <v>64.802500000000009</v>
      </c>
      <c r="R8" s="3">
        <f>O8+15%*O8</f>
        <v>19.440749999999998</v>
      </c>
      <c r="S8" s="3">
        <f>P8+20%*P8</f>
        <v>0</v>
      </c>
      <c r="T8" s="3">
        <f>Q8+15%*Q8</f>
        <v>74.522875000000013</v>
      </c>
      <c r="U8" s="3">
        <f>R8+15%*R8</f>
        <v>22.356862499999998</v>
      </c>
      <c r="V8" s="3">
        <f>S8+20%*S8</f>
        <v>0</v>
      </c>
      <c r="W8" s="3">
        <f>T8+15%*T8</f>
        <v>85.701306250000016</v>
      </c>
      <c r="X8" s="3">
        <f>U8+15%*U8</f>
        <v>25.710391874999999</v>
      </c>
      <c r="Y8" s="3">
        <f>V8+20%*V8</f>
        <v>0</v>
      </c>
      <c r="Z8" s="3">
        <f>W8+12%*W8</f>
        <v>95.98546300000001</v>
      </c>
      <c r="AA8" s="3">
        <f>X8+12%*X8</f>
        <v>28.7956389</v>
      </c>
      <c r="AB8" s="3">
        <f t="shared" ref="AB8" si="5">Y8+15%*Y8</f>
        <v>0</v>
      </c>
      <c r="AC8" s="3">
        <f>Z8+12%*Z8</f>
        <v>107.50371856000001</v>
      </c>
      <c r="AD8" s="86">
        <f>AA8+25%*AA8</f>
        <v>35.994548625</v>
      </c>
      <c r="AE8" s="3">
        <f t="shared" ref="AE8" si="6">AB8+15%*AB8</f>
        <v>0</v>
      </c>
      <c r="AF8" s="3">
        <f>AC8+12%*AC8</f>
        <v>120.40416478720002</v>
      </c>
      <c r="AG8" s="86">
        <f>AD8+25%*AD8</f>
        <v>44.993185781249998</v>
      </c>
      <c r="AH8" s="3">
        <f t="shared" ref="AH8" si="7">AE8+15%*AE8</f>
        <v>0</v>
      </c>
      <c r="AI8" s="3">
        <f>AF8+12%*AF8</f>
        <v>134.85266456166403</v>
      </c>
      <c r="AJ8" s="86">
        <f>AG8+25%*AG8</f>
        <v>56.241482226562496</v>
      </c>
      <c r="AK8" s="3">
        <f t="shared" ref="AK8" si="8">AH8+15%*AH8</f>
        <v>0</v>
      </c>
      <c r="AL8" s="3">
        <f>AI8+12%*AI8</f>
        <v>151.0349843090637</v>
      </c>
      <c r="AM8" s="3">
        <f>AJ8+12%*AJ8</f>
        <v>62.990460093749995</v>
      </c>
      <c r="AN8" s="3">
        <f t="shared" ref="AN8" si="9">AK8+15%*AK8</f>
        <v>0</v>
      </c>
      <c r="AP8" t="s">
        <v>23</v>
      </c>
      <c r="AQ8" s="29">
        <v>73.274616843749996</v>
      </c>
      <c r="AR8" s="29">
        <f>AQ8+15%*AQ8</f>
        <v>84.265809370312496</v>
      </c>
      <c r="AS8" s="29">
        <f t="shared" ref="AS8:BG8" si="10">AR8+15%*AR8</f>
        <v>96.905680775859366</v>
      </c>
      <c r="AT8" s="29">
        <f t="shared" si="10"/>
        <v>111.44153289223827</v>
      </c>
      <c r="AU8" s="29">
        <f t="shared" si="10"/>
        <v>128.15776282607402</v>
      </c>
      <c r="AV8" s="29">
        <f t="shared" si="10"/>
        <v>147.38142724998511</v>
      </c>
      <c r="AW8" s="29">
        <f t="shared" si="10"/>
        <v>169.48864133748287</v>
      </c>
      <c r="AX8" s="29">
        <f t="shared" si="10"/>
        <v>194.91193753810529</v>
      </c>
      <c r="AY8" s="29">
        <f t="shared" si="10"/>
        <v>224.14872816882109</v>
      </c>
      <c r="AZ8" s="29">
        <f t="shared" si="10"/>
        <v>257.77103739414429</v>
      </c>
      <c r="BA8" s="29">
        <f t="shared" si="10"/>
        <v>296.43669300326593</v>
      </c>
      <c r="BB8" s="29">
        <f t="shared" si="10"/>
        <v>340.90219695375583</v>
      </c>
      <c r="BC8" s="29">
        <f t="shared" si="10"/>
        <v>392.03752649681923</v>
      </c>
      <c r="BD8" s="29">
        <f t="shared" si="10"/>
        <v>450.84315547134213</v>
      </c>
      <c r="BE8" s="29">
        <f t="shared" si="10"/>
        <v>518.46962879204341</v>
      </c>
      <c r="BF8" s="29">
        <f t="shared" si="10"/>
        <v>596.24007311084995</v>
      </c>
      <c r="BG8" s="29">
        <f t="shared" si="10"/>
        <v>685.67608407747741</v>
      </c>
    </row>
    <row r="9" spans="2:59" ht="15.6" thickTop="1" thickBot="1" x14ac:dyDescent="0.35">
      <c r="C9" s="2" t="s">
        <v>9</v>
      </c>
      <c r="D9" s="3">
        <f>'ESDM Sector'!D19</f>
        <v>89.888064503999985</v>
      </c>
      <c r="E9" s="3">
        <f>D9*20%</f>
        <v>17.977612900799997</v>
      </c>
      <c r="F9" s="2"/>
      <c r="G9" s="8">
        <f>E9*5%</f>
        <v>0.89888064503999987</v>
      </c>
      <c r="H9" s="2"/>
      <c r="I9" s="8">
        <f>E9-G9</f>
        <v>17.078732255759999</v>
      </c>
      <c r="M9" s="2" t="s">
        <v>9</v>
      </c>
      <c r="N9" s="3">
        <f>'ESDM Sector'!N37</f>
        <v>121.57441649487998</v>
      </c>
      <c r="O9" s="3">
        <f>'ESDM Sector'!O37</f>
        <v>24.314883298976007</v>
      </c>
      <c r="P9" s="8">
        <f>'ESDM Sector'!P37</f>
        <v>1.2157441649488001</v>
      </c>
      <c r="Q9" s="3">
        <f>'ESDM Sector'!Q37</f>
        <v>157.41135551322031</v>
      </c>
      <c r="R9" s="3">
        <f>'ESDM Sector'!R37</f>
        <v>31.482271102644056</v>
      </c>
      <c r="S9" s="8">
        <f>'ESDM Sector'!S37</f>
        <v>1.9011440047648107</v>
      </c>
      <c r="T9" s="3">
        <f>'ESDM Sector'!T37</f>
        <v>200.46721943685489</v>
      </c>
      <c r="U9" s="3">
        <f>'ESDM Sector'!U37</f>
        <v>40.093443887370981</v>
      </c>
      <c r="V9" s="8">
        <f>'ESDM Sector'!V37</f>
        <v>2.007003356368549</v>
      </c>
      <c r="W9" s="3">
        <f>'ESDM Sector'!W37</f>
        <v>314.92018197207852</v>
      </c>
      <c r="X9" s="3">
        <f>'ESDM Sector'!X37</f>
        <v>63.704036394415724</v>
      </c>
      <c r="Y9" s="8">
        <f>'ESDM Sector'!Y37</f>
        <v>3.2318250597207867</v>
      </c>
      <c r="Z9" s="3">
        <f>'ESDM Sector'!Z37</f>
        <v>356.44056823107655</v>
      </c>
      <c r="AA9" s="3">
        <f>'ESDM Sector'!AA37</f>
        <v>72.188113646215328</v>
      </c>
      <c r="AB9" s="8">
        <f>'ESDM Sector'!AB37</f>
        <v>3.6987668923107657</v>
      </c>
      <c r="AC9" s="3">
        <f>'ESDM Sector'!AC37</f>
        <v>403.66948021266779</v>
      </c>
      <c r="AD9" s="86">
        <f>'ESDM Sector'!AD37</f>
        <v>81.948896042533562</v>
      </c>
      <c r="AE9" s="8">
        <f>'ESDM Sector'!AE37</f>
        <v>4.2295439821266783</v>
      </c>
      <c r="AF9" s="3">
        <f>'ESDM Sector'!AF37</f>
        <v>451.84746300148862</v>
      </c>
      <c r="AG9" s="86">
        <f>'ESDM Sector'!AG37</f>
        <v>92.191992600297738</v>
      </c>
      <c r="AH9" s="3">
        <f>'ESDM Sector'!AH37</f>
        <v>4.6095996300148885</v>
      </c>
      <c r="AI9" s="3">
        <f>'ESDM Sector'!AI37</f>
        <v>512.25184576506297</v>
      </c>
      <c r="AJ9" s="86">
        <f>'ESDM Sector'!AJ37</f>
        <v>105.1841191530126</v>
      </c>
      <c r="AK9" s="3">
        <f>'ESDM Sector'!AK37</f>
        <v>5.2592059576506296</v>
      </c>
      <c r="AL9" s="3">
        <f>'ESDM Sector'!AL37</f>
        <v>581.89604798551215</v>
      </c>
      <c r="AM9" s="3">
        <f>'ESDM Sector'!AM37</f>
        <v>120.47983459710244</v>
      </c>
      <c r="AN9" s="3">
        <f>'ESDM Sector'!AN37</f>
        <v>6.0239917298551209</v>
      </c>
      <c r="AP9" t="s">
        <v>9</v>
      </c>
      <c r="AQ9" s="29">
        <v>120.47983459710244</v>
      </c>
      <c r="AR9" s="29">
        <f>AQ9+12%*AQ9</f>
        <v>134.93741474875472</v>
      </c>
      <c r="AS9" s="29">
        <f t="shared" ref="AS9:BG9" si="11">AR9+12%*AR9</f>
        <v>151.12990451860529</v>
      </c>
      <c r="AT9" s="29">
        <f t="shared" si="11"/>
        <v>169.26549306083791</v>
      </c>
      <c r="AU9" s="29">
        <f t="shared" si="11"/>
        <v>189.57735222813847</v>
      </c>
      <c r="AV9" s="29">
        <f t="shared" si="11"/>
        <v>212.32663449551507</v>
      </c>
      <c r="AW9" s="29">
        <f t="shared" si="11"/>
        <v>237.80583063497687</v>
      </c>
      <c r="AX9" s="29">
        <f t="shared" si="11"/>
        <v>266.34253031117407</v>
      </c>
      <c r="AY9" s="29">
        <f t="shared" si="11"/>
        <v>298.30363394851497</v>
      </c>
      <c r="AZ9" s="29">
        <f t="shared" si="11"/>
        <v>334.10007002233675</v>
      </c>
      <c r="BA9" s="29">
        <f t="shared" si="11"/>
        <v>374.19207842501714</v>
      </c>
      <c r="BB9" s="29">
        <f t="shared" si="11"/>
        <v>419.09512783601917</v>
      </c>
      <c r="BC9" s="29">
        <f t="shared" si="11"/>
        <v>469.38654317634149</v>
      </c>
      <c r="BD9" s="29">
        <f t="shared" si="11"/>
        <v>525.71292835750251</v>
      </c>
      <c r="BE9" s="29">
        <f t="shared" si="11"/>
        <v>588.79847976040276</v>
      </c>
      <c r="BF9" s="29">
        <f t="shared" si="11"/>
        <v>659.45429733165111</v>
      </c>
      <c r="BG9" s="29">
        <f t="shared" si="11"/>
        <v>738.58881301144925</v>
      </c>
    </row>
    <row r="10" spans="2:59" ht="15.6" thickTop="1" thickBot="1" x14ac:dyDescent="0.35">
      <c r="C10" s="2" t="s">
        <v>162</v>
      </c>
      <c r="D10" s="2">
        <v>10</v>
      </c>
      <c r="E10" s="2">
        <f>D10*40%</f>
        <v>4</v>
      </c>
      <c r="F10" s="2"/>
      <c r="G10" s="87" t="s">
        <v>172</v>
      </c>
      <c r="H10" s="2"/>
      <c r="I10" s="8">
        <f>E10-G10</f>
        <v>3.92</v>
      </c>
      <c r="M10" s="2" t="s">
        <v>24</v>
      </c>
      <c r="N10" s="2">
        <f>D10+30%*D10</f>
        <v>13</v>
      </c>
      <c r="O10" s="2">
        <f>E10+30%*E10</f>
        <v>5.2</v>
      </c>
      <c r="P10" s="87" t="s">
        <v>173</v>
      </c>
      <c r="Q10" s="3">
        <f>N10+30%*N10</f>
        <v>16.899999999999999</v>
      </c>
      <c r="R10" s="3">
        <f>O10+30%*O10</f>
        <v>6.76</v>
      </c>
      <c r="S10" s="89">
        <f>P10+15%*P10</f>
        <v>0.115</v>
      </c>
      <c r="T10" s="3">
        <f>Q10+30%*Q10</f>
        <v>21.97</v>
      </c>
      <c r="U10" s="3">
        <f>R10+30%*R10</f>
        <v>8.7880000000000003</v>
      </c>
      <c r="V10" s="89">
        <f>S10+15%*S10</f>
        <v>0.13225000000000001</v>
      </c>
      <c r="W10" s="3">
        <f>T10+30%*T10</f>
        <v>28.561</v>
      </c>
      <c r="X10" s="3">
        <f>U10+30%*U10</f>
        <v>11.4244</v>
      </c>
      <c r="Y10" s="87" t="s">
        <v>174</v>
      </c>
      <c r="Z10" s="3">
        <f>W10+20%*W10</f>
        <v>34.273200000000003</v>
      </c>
      <c r="AA10" s="3">
        <f>X10+20%*X10</f>
        <v>13.70928</v>
      </c>
      <c r="AB10" s="89">
        <f>Y10+15%*Y10</f>
        <v>0.23</v>
      </c>
      <c r="AC10" s="3">
        <f>Z10+20%*Z10</f>
        <v>41.127840000000006</v>
      </c>
      <c r="AD10" s="86">
        <f>AA10+25%*AA10</f>
        <v>17.136600000000001</v>
      </c>
      <c r="AE10" s="89">
        <f>AB10+15%*AB10</f>
        <v>0.26450000000000001</v>
      </c>
      <c r="AF10" s="3">
        <f>AC10+20%*AC10</f>
        <v>49.353408000000009</v>
      </c>
      <c r="AG10" s="86">
        <f>AD10+25%*AD10</f>
        <v>21.420750000000002</v>
      </c>
      <c r="AH10" s="89">
        <f>AE10+15%*AE10</f>
        <v>0.30417500000000003</v>
      </c>
      <c r="AI10" s="3">
        <f>AF10+20%*AF10</f>
        <v>59.224089600000013</v>
      </c>
      <c r="AJ10" s="86">
        <f>AG10+25%*AG10</f>
        <v>26.775937500000001</v>
      </c>
      <c r="AK10" s="88" t="s">
        <v>175</v>
      </c>
      <c r="AL10" s="3">
        <f>AI10+20%*AI10</f>
        <v>71.06890752000001</v>
      </c>
      <c r="AM10" s="3">
        <f>AJ10+20%*AJ10</f>
        <v>32.131125000000004</v>
      </c>
      <c r="AN10" s="89">
        <f>AK10+15%*AK10</f>
        <v>0.54049999999999998</v>
      </c>
      <c r="AP10" t="s">
        <v>94</v>
      </c>
      <c r="AQ10" s="29">
        <v>32.131125000000004</v>
      </c>
      <c r="AR10" s="29">
        <f>AQ10+20%*AQ10</f>
        <v>38.557350000000007</v>
      </c>
      <c r="AS10" s="29">
        <f t="shared" ref="AS10:BG10" si="12">AR10+20%*AR10</f>
        <v>46.268820000000005</v>
      </c>
      <c r="AT10" s="29">
        <f t="shared" si="12"/>
        <v>55.522584000000009</v>
      </c>
      <c r="AU10" s="29">
        <f t="shared" si="12"/>
        <v>66.627100800000008</v>
      </c>
      <c r="AV10" s="29">
        <f t="shared" si="12"/>
        <v>79.952520960000015</v>
      </c>
      <c r="AW10" s="29">
        <f t="shared" si="12"/>
        <v>95.943025152000018</v>
      </c>
      <c r="AX10" s="29">
        <f t="shared" si="12"/>
        <v>115.13163018240002</v>
      </c>
      <c r="AY10" s="29">
        <f t="shared" si="12"/>
        <v>138.15795621888003</v>
      </c>
      <c r="AZ10" s="29">
        <f t="shared" si="12"/>
        <v>165.78954746265603</v>
      </c>
      <c r="BA10" s="29">
        <f t="shared" si="12"/>
        <v>198.94745695518725</v>
      </c>
      <c r="BB10" s="29">
        <f t="shared" si="12"/>
        <v>238.73694834622469</v>
      </c>
      <c r="BC10" s="29">
        <f t="shared" si="12"/>
        <v>286.48433801546963</v>
      </c>
      <c r="BD10" s="29">
        <f t="shared" si="12"/>
        <v>343.78120561856355</v>
      </c>
      <c r="BE10" s="29">
        <f t="shared" si="12"/>
        <v>412.53744674227625</v>
      </c>
      <c r="BF10" s="29">
        <f t="shared" si="12"/>
        <v>495.04493609073148</v>
      </c>
      <c r="BG10" s="29">
        <f t="shared" si="12"/>
        <v>594.05392330887776</v>
      </c>
    </row>
    <row r="11" spans="2:59" ht="15.6" thickTop="1" thickBot="1" x14ac:dyDescent="0.35">
      <c r="C11" s="22" t="s">
        <v>41</v>
      </c>
      <c r="D11" s="2"/>
      <c r="E11" s="2"/>
      <c r="F11" s="2"/>
      <c r="G11" s="8"/>
      <c r="H11" s="2"/>
      <c r="I11" s="8"/>
      <c r="M11" s="22" t="s">
        <v>41</v>
      </c>
      <c r="N11" s="2"/>
      <c r="O11" s="2"/>
      <c r="P11" s="8"/>
      <c r="Q11" s="3"/>
      <c r="R11" s="3"/>
      <c r="S11" s="3"/>
      <c r="T11" s="3"/>
      <c r="U11" s="3"/>
      <c r="V11" s="3"/>
      <c r="W11" s="3"/>
      <c r="X11" s="3"/>
      <c r="Y11" s="3"/>
      <c r="Z11" s="3"/>
      <c r="AA11" s="3"/>
      <c r="AB11" s="3"/>
      <c r="AC11" s="3"/>
      <c r="AD11" s="3"/>
      <c r="AE11" s="3"/>
      <c r="AF11" s="3"/>
      <c r="AG11" s="3"/>
      <c r="AH11" s="3"/>
      <c r="AI11" s="3"/>
      <c r="AJ11" s="3"/>
      <c r="AK11" s="3"/>
      <c r="AL11" s="3"/>
      <c r="AM11" s="3"/>
      <c r="AN11" s="3"/>
      <c r="AQ11">
        <f>AQ10*AP14/AP13</f>
        <v>4819668.75</v>
      </c>
      <c r="AR11">
        <f t="shared" ref="AR11:BG11" si="13">AR10*AQ11/AQ10</f>
        <v>5783602.5</v>
      </c>
      <c r="AS11">
        <f t="shared" si="13"/>
        <v>6940322.9999999991</v>
      </c>
      <c r="AT11">
        <f t="shared" si="13"/>
        <v>8328387.5999999987</v>
      </c>
      <c r="AU11">
        <f t="shared" si="13"/>
        <v>9994065.1199999973</v>
      </c>
      <c r="AV11">
        <f t="shared" si="13"/>
        <v>11992878.143999998</v>
      </c>
      <c r="AW11">
        <f t="shared" si="13"/>
        <v>14391453.772799997</v>
      </c>
      <c r="AX11">
        <f t="shared" si="13"/>
        <v>17269744.527359996</v>
      </c>
      <c r="AY11">
        <f t="shared" si="13"/>
        <v>20723693.432831995</v>
      </c>
      <c r="AZ11">
        <f t="shared" si="13"/>
        <v>24868432.119398393</v>
      </c>
      <c r="BA11">
        <f t="shared" si="13"/>
        <v>29842118.543278076</v>
      </c>
      <c r="BB11">
        <f t="shared" si="13"/>
        <v>35810542.251933694</v>
      </c>
      <c r="BC11">
        <f t="shared" si="13"/>
        <v>42972650.702320434</v>
      </c>
      <c r="BD11">
        <f t="shared" si="13"/>
        <v>51567180.842784517</v>
      </c>
      <c r="BE11">
        <f t="shared" si="13"/>
        <v>61880617.011341415</v>
      </c>
      <c r="BF11">
        <f t="shared" si="13"/>
        <v>74256740.413609698</v>
      </c>
      <c r="BG11">
        <f t="shared" si="13"/>
        <v>89108088.496331632</v>
      </c>
    </row>
    <row r="12" spans="2:59" ht="15.6" thickTop="1" thickBot="1" x14ac:dyDescent="0.35">
      <c r="C12" s="20" t="s">
        <v>109</v>
      </c>
      <c r="D12" s="2">
        <v>23</v>
      </c>
      <c r="E12" s="3">
        <f>D12*6.5%</f>
        <v>1.4950000000000001</v>
      </c>
      <c r="F12" s="2"/>
      <c r="G12" s="23">
        <f>E12*5%</f>
        <v>7.4750000000000011E-2</v>
      </c>
      <c r="H12" s="2"/>
      <c r="I12" s="3">
        <f>E12-G12</f>
        <v>1.42025</v>
      </c>
      <c r="M12" s="20" t="s">
        <v>109</v>
      </c>
      <c r="N12" s="3">
        <f>D12+22.62%*D12</f>
        <v>28.2026</v>
      </c>
      <c r="O12" s="3">
        <f>E12+23.59%*E12</f>
        <v>1.8476705</v>
      </c>
      <c r="P12" s="23">
        <f>O12*5%</f>
        <v>9.2383525000000008E-2</v>
      </c>
      <c r="Q12" s="3">
        <f>N12+22.62%*N12</f>
        <v>34.582028120000004</v>
      </c>
      <c r="R12" s="3">
        <f>O12+23.59%*O12</f>
        <v>2.28353597095</v>
      </c>
      <c r="S12" s="23">
        <f>R12*5%</f>
        <v>0.11417679854750001</v>
      </c>
      <c r="T12" s="3">
        <f>Q12+22.62%*Q12</f>
        <v>42.404482880744006</v>
      </c>
      <c r="U12" s="3">
        <f>R12+23.59%*R12</f>
        <v>2.8222221064971049</v>
      </c>
      <c r="V12" s="23">
        <f>U12*5%</f>
        <v>0.14111110532485524</v>
      </c>
      <c r="W12" s="69">
        <f>T12+22.62%*T12</f>
        <v>51.996376908368298</v>
      </c>
      <c r="X12" s="69">
        <f>U12+23.59%*U12</f>
        <v>3.4879843014197718</v>
      </c>
      <c r="Y12" s="23">
        <f>X12*5%</f>
        <v>0.1743992150709886</v>
      </c>
      <c r="Z12" s="3">
        <f>W12+10%*W12</f>
        <v>57.196014599205128</v>
      </c>
      <c r="AA12" s="3">
        <f>X12+15%*X12</f>
        <v>4.0111819466327372</v>
      </c>
      <c r="AB12" s="23">
        <f>AA12*5%</f>
        <v>0.20055909733163688</v>
      </c>
      <c r="AC12" s="3">
        <f>Z12+10%*Z12</f>
        <v>62.915616059125639</v>
      </c>
      <c r="AD12" s="3">
        <f>AA12+15%*AA12</f>
        <v>4.6128592386276477</v>
      </c>
      <c r="AE12" s="23">
        <f>AD12*5%</f>
        <v>0.2306429619313824</v>
      </c>
      <c r="AF12" s="3">
        <f>AC12+10%*AC12</f>
        <v>69.207177665038202</v>
      </c>
      <c r="AG12" s="3">
        <f>AD12+15%*AD12</f>
        <v>5.3047881244217949</v>
      </c>
      <c r="AH12" s="23">
        <f>AG12*5%</f>
        <v>0.26523940622108977</v>
      </c>
      <c r="AI12" s="3">
        <f>AF12+10%*AF12</f>
        <v>76.127895431542015</v>
      </c>
      <c r="AJ12" s="3">
        <f>AG12+15%*AG12</f>
        <v>6.1005063430850637</v>
      </c>
      <c r="AK12" s="23">
        <f>AJ12*5%</f>
        <v>0.30502531715425318</v>
      </c>
      <c r="AL12" s="3">
        <f>AI12+10%*AI12</f>
        <v>83.740684974696222</v>
      </c>
      <c r="AM12" s="3">
        <f>AJ12+15%*AJ12</f>
        <v>7.0155822945478228</v>
      </c>
      <c r="AN12" s="23">
        <f>AM12*5%</f>
        <v>0.35077911472739115</v>
      </c>
    </row>
    <row r="13" spans="2:59" ht="15.6" thickTop="1" thickBot="1" x14ac:dyDescent="0.35">
      <c r="C13" s="20" t="s">
        <v>110</v>
      </c>
      <c r="D13" s="2">
        <v>13</v>
      </c>
      <c r="E13" s="3">
        <f>D13*10%</f>
        <v>1.3</v>
      </c>
      <c r="F13" s="2"/>
      <c r="G13" s="23">
        <f t="shared" ref="G13:G28" si="14">E13*5%</f>
        <v>6.5000000000000002E-2</v>
      </c>
      <c r="H13" s="2"/>
      <c r="I13" s="3">
        <f t="shared" ref="I13:I17" si="15">E13-G13</f>
        <v>1.2350000000000001</v>
      </c>
      <c r="M13" s="20" t="s">
        <v>110</v>
      </c>
      <c r="N13" s="3">
        <f>D13+17.76%*D13</f>
        <v>15.3088</v>
      </c>
      <c r="O13" s="3">
        <f>E13+18.8%*E13</f>
        <v>1.5444</v>
      </c>
      <c r="P13" s="23">
        <f t="shared" ref="P13:P28" si="16">O13*5%</f>
        <v>7.7220000000000011E-2</v>
      </c>
      <c r="Q13" s="3">
        <f>N13+17.76%*N13</f>
        <v>18.027642879999998</v>
      </c>
      <c r="R13" s="3">
        <f>O13+18.8%*O13</f>
        <v>1.8347472</v>
      </c>
      <c r="S13" s="23">
        <f t="shared" ref="S13:S28" si="17">R13*5%</f>
        <v>9.1737360000000004E-2</v>
      </c>
      <c r="T13" s="3">
        <f>Q13+17.76%*Q13</f>
        <v>21.229352255487999</v>
      </c>
      <c r="U13" s="3">
        <f>R13+18.8%*R13</f>
        <v>2.1796796735999999</v>
      </c>
      <c r="V13" s="23">
        <f t="shared" ref="V13:V28" si="18">U13*5%</f>
        <v>0.10898398368000001</v>
      </c>
      <c r="W13" s="69">
        <f>T13+17.76%*T13</f>
        <v>24.999685216062669</v>
      </c>
      <c r="X13" s="69">
        <f>U13+18.8%*U13</f>
        <v>2.5894594522367997</v>
      </c>
      <c r="Y13" s="23">
        <f t="shared" ref="Y13:Y17" si="19">X13*5%</f>
        <v>0.12947297261183999</v>
      </c>
      <c r="Z13" s="3">
        <f t="shared" ref="Z13:Z28" si="20">W13+10%*W13</f>
        <v>27.499653737668936</v>
      </c>
      <c r="AA13" s="3">
        <f t="shared" ref="AA13:AA28" si="21">X13+15%*X13</f>
        <v>2.9778783700723199</v>
      </c>
      <c r="AB13" s="23">
        <f t="shared" ref="AB13:AB17" si="22">AA13*5%</f>
        <v>0.148893918503616</v>
      </c>
      <c r="AC13" s="3">
        <f t="shared" ref="AC13:AC28" si="23">Z13+10%*Z13</f>
        <v>30.24961911143583</v>
      </c>
      <c r="AD13" s="3">
        <f t="shared" ref="AD13:AD28" si="24">AA13+15%*AA13</f>
        <v>3.4245601255831679</v>
      </c>
      <c r="AE13" s="23">
        <f t="shared" ref="AE13:AE17" si="25">AD13*5%</f>
        <v>0.17122800627915841</v>
      </c>
      <c r="AF13" s="3">
        <f t="shared" ref="AF13:AF28" si="26">AC13+10%*AC13</f>
        <v>33.274581022579412</v>
      </c>
      <c r="AG13" s="3">
        <f t="shared" ref="AG13:AG28" si="27">AD13+15%*AD13</f>
        <v>3.9382441444206431</v>
      </c>
      <c r="AH13" s="23">
        <f t="shared" ref="AH13:AH17" si="28">AG13*5%</f>
        <v>0.19691220722103217</v>
      </c>
      <c r="AI13" s="3">
        <f t="shared" ref="AI13:AI28" si="29">AF13+10%*AF13</f>
        <v>36.602039124837354</v>
      </c>
      <c r="AJ13" s="3">
        <f t="shared" ref="AJ13:AJ28" si="30">AG13+15%*AG13</f>
        <v>4.5289807660837393</v>
      </c>
      <c r="AK13" s="23">
        <f t="shared" ref="AK13:AK17" si="31">AJ13*5%</f>
        <v>0.22644903830418697</v>
      </c>
      <c r="AL13" s="3">
        <f t="shared" ref="AL13:AL28" si="32">AI13+10%*AI13</f>
        <v>40.262243037321092</v>
      </c>
      <c r="AM13" s="3">
        <f t="shared" ref="AM13:AM28" si="33">AJ13+15%*AJ13</f>
        <v>5.2083278809963005</v>
      </c>
      <c r="AN13" s="23">
        <f t="shared" ref="AN13:AN17" si="34">AM13*5%</f>
        <v>0.26041639404981504</v>
      </c>
      <c r="AP13" s="29">
        <v>28.427563008000007</v>
      </c>
      <c r="BG13">
        <f>1000000</f>
        <v>1000000</v>
      </c>
    </row>
    <row r="14" spans="2:59" ht="15.6" thickTop="1" thickBot="1" x14ac:dyDescent="0.35">
      <c r="C14" s="20" t="s">
        <v>111</v>
      </c>
      <c r="D14" s="2">
        <v>5.66</v>
      </c>
      <c r="E14" s="3">
        <f>D14*15%</f>
        <v>0.84899999999999998</v>
      </c>
      <c r="F14" s="2"/>
      <c r="G14" s="23">
        <f t="shared" si="14"/>
        <v>4.2450000000000002E-2</v>
      </c>
      <c r="H14" s="2"/>
      <c r="I14" s="3">
        <f t="shared" si="15"/>
        <v>0.80654999999999999</v>
      </c>
      <c r="M14" s="20" t="s">
        <v>111</v>
      </c>
      <c r="N14" s="3">
        <f>D14+21%*D14</f>
        <v>6.8486000000000002</v>
      </c>
      <c r="O14" s="3">
        <f>E14+24.5%*E14</f>
        <v>1.057005</v>
      </c>
      <c r="P14" s="23">
        <f t="shared" si="16"/>
        <v>5.2850250000000001E-2</v>
      </c>
      <c r="Q14" s="3">
        <f>N14+21%*N14</f>
        <v>8.2868060000000003</v>
      </c>
      <c r="R14" s="3">
        <f>O14+24.5%*O14</f>
        <v>1.315971225</v>
      </c>
      <c r="S14" s="23">
        <f t="shared" si="17"/>
        <v>6.5798561249999998E-2</v>
      </c>
      <c r="T14" s="3">
        <f>Q14+21%*Q14</f>
        <v>10.02703526</v>
      </c>
      <c r="U14" s="3">
        <f>R14+24.5%*R14</f>
        <v>1.6383841751249999</v>
      </c>
      <c r="V14" s="23">
        <f t="shared" si="18"/>
        <v>8.191920875625E-2</v>
      </c>
      <c r="W14" s="69">
        <f>T14+21%*T14</f>
        <v>12.1327126646</v>
      </c>
      <c r="X14" s="69">
        <f>U14+24.5%*U14</f>
        <v>2.0397882980306248</v>
      </c>
      <c r="Y14" s="23">
        <f t="shared" si="19"/>
        <v>0.10198941490153124</v>
      </c>
      <c r="Z14" s="3">
        <f t="shared" si="20"/>
        <v>13.345983931059999</v>
      </c>
      <c r="AA14" s="3">
        <f t="shared" si="21"/>
        <v>2.3457565427352183</v>
      </c>
      <c r="AB14" s="23">
        <f t="shared" si="22"/>
        <v>0.11728782713676092</v>
      </c>
      <c r="AC14" s="3">
        <f t="shared" si="23"/>
        <v>14.680582324166</v>
      </c>
      <c r="AD14" s="3">
        <f t="shared" si="24"/>
        <v>2.6976200241455008</v>
      </c>
      <c r="AE14" s="23">
        <f t="shared" si="25"/>
        <v>0.13488100120727506</v>
      </c>
      <c r="AF14" s="3">
        <f t="shared" si="26"/>
        <v>16.148640556582599</v>
      </c>
      <c r="AG14" s="3">
        <f t="shared" si="27"/>
        <v>3.102263027767326</v>
      </c>
      <c r="AH14" s="23">
        <f t="shared" si="28"/>
        <v>0.15511315138836632</v>
      </c>
      <c r="AI14" s="3">
        <f t="shared" si="29"/>
        <v>17.763504612240858</v>
      </c>
      <c r="AJ14" s="3">
        <f t="shared" si="30"/>
        <v>3.567602481932425</v>
      </c>
      <c r="AK14" s="23">
        <f t="shared" si="31"/>
        <v>0.17838012409662127</v>
      </c>
      <c r="AL14" s="3">
        <f t="shared" si="32"/>
        <v>19.539855073464945</v>
      </c>
      <c r="AM14" s="3">
        <f t="shared" si="33"/>
        <v>4.1027428542222886</v>
      </c>
      <c r="AN14" s="23">
        <f t="shared" si="34"/>
        <v>0.20513714271111444</v>
      </c>
      <c r="AP14">
        <v>4264134.4512</v>
      </c>
    </row>
    <row r="15" spans="2:59" ht="15.6" thickTop="1" thickBot="1" x14ac:dyDescent="0.35">
      <c r="C15" s="20" t="s">
        <v>112</v>
      </c>
      <c r="D15" s="2">
        <v>1</v>
      </c>
      <c r="E15" s="3">
        <f>D15*8%</f>
        <v>0.08</v>
      </c>
      <c r="F15" s="2"/>
      <c r="G15" s="23">
        <f t="shared" si="14"/>
        <v>4.0000000000000001E-3</v>
      </c>
      <c r="H15" s="2"/>
      <c r="I15" s="3">
        <f t="shared" si="15"/>
        <v>7.5999999999999998E-2</v>
      </c>
      <c r="M15" s="20" t="s">
        <v>112</v>
      </c>
      <c r="N15" s="3">
        <f>D15+49.5%*D15</f>
        <v>1.4950000000000001</v>
      </c>
      <c r="O15" s="3">
        <f>E15+20%*E15</f>
        <v>9.6000000000000002E-2</v>
      </c>
      <c r="P15" s="23">
        <f t="shared" si="16"/>
        <v>4.8000000000000004E-3</v>
      </c>
      <c r="Q15" s="3">
        <f>N15+49.5%*N15</f>
        <v>2.2350250000000003</v>
      </c>
      <c r="R15" s="3">
        <f>O15+20%*O15</f>
        <v>0.1152</v>
      </c>
      <c r="S15" s="23">
        <f t="shared" si="17"/>
        <v>5.7600000000000004E-3</v>
      </c>
      <c r="T15" s="3">
        <f>Q15+49.5%*Q15</f>
        <v>3.3413623750000001</v>
      </c>
      <c r="U15" s="3">
        <f>R15+20%*R15</f>
        <v>0.13824</v>
      </c>
      <c r="V15" s="23">
        <f t="shared" si="18"/>
        <v>6.9120000000000006E-3</v>
      </c>
      <c r="W15" s="69">
        <f>T15+49.5%*T15</f>
        <v>4.9953367506250004</v>
      </c>
      <c r="X15" s="69">
        <f>U15+20%*U15</f>
        <v>0.16588800000000001</v>
      </c>
      <c r="Y15" s="23">
        <f t="shared" si="19"/>
        <v>8.2944000000000004E-3</v>
      </c>
      <c r="Z15" s="3">
        <f t="shared" si="20"/>
        <v>5.4948704256875001</v>
      </c>
      <c r="AA15" s="3">
        <f t="shared" si="21"/>
        <v>0.1907712</v>
      </c>
      <c r="AB15" s="23">
        <f t="shared" si="22"/>
        <v>9.5385600000000015E-3</v>
      </c>
      <c r="AC15" s="3">
        <f t="shared" si="23"/>
        <v>6.0443574682562504</v>
      </c>
      <c r="AD15" s="3">
        <f t="shared" si="24"/>
        <v>0.21938688000000001</v>
      </c>
      <c r="AE15" s="23">
        <f t="shared" si="25"/>
        <v>1.0969344000000001E-2</v>
      </c>
      <c r="AF15" s="3">
        <f t="shared" si="26"/>
        <v>6.6487932150818754</v>
      </c>
      <c r="AG15" s="3">
        <f t="shared" si="27"/>
        <v>0.25229491199999998</v>
      </c>
      <c r="AH15" s="23">
        <f t="shared" si="28"/>
        <v>1.2614745599999999E-2</v>
      </c>
      <c r="AI15" s="3">
        <f t="shared" si="29"/>
        <v>7.3136725365900634</v>
      </c>
      <c r="AJ15" s="3">
        <f t="shared" si="30"/>
        <v>0.29013914879999997</v>
      </c>
      <c r="AK15" s="23">
        <f t="shared" si="31"/>
        <v>1.4506957439999999E-2</v>
      </c>
      <c r="AL15" s="3">
        <f t="shared" si="32"/>
        <v>8.0450397902490707</v>
      </c>
      <c r="AM15" s="3">
        <f t="shared" si="33"/>
        <v>0.33366002111999998</v>
      </c>
      <c r="AN15" s="23">
        <f t="shared" si="34"/>
        <v>1.6683001055999999E-2</v>
      </c>
    </row>
    <row r="16" spans="2:59" ht="15.6" thickTop="1" thickBot="1" x14ac:dyDescent="0.35">
      <c r="C16" s="20" t="s">
        <v>113</v>
      </c>
      <c r="D16" s="2">
        <v>10</v>
      </c>
      <c r="E16" s="3">
        <f>D16*5%</f>
        <v>0.5</v>
      </c>
      <c r="F16" s="2"/>
      <c r="G16" s="23">
        <f t="shared" si="14"/>
        <v>2.5000000000000001E-2</v>
      </c>
      <c r="H16" s="2"/>
      <c r="I16" s="3">
        <f t="shared" si="15"/>
        <v>0.47499999999999998</v>
      </c>
      <c r="M16" s="20" t="s">
        <v>113</v>
      </c>
      <c r="N16" s="3">
        <f>D16+36.78%*D16</f>
        <v>13.678000000000001</v>
      </c>
      <c r="O16" s="3">
        <f>E16+40%*E16</f>
        <v>0.7</v>
      </c>
      <c r="P16" s="23">
        <f t="shared" si="16"/>
        <v>3.4999999999999996E-2</v>
      </c>
      <c r="Q16" s="3">
        <f>N16+36.78%*N16</f>
        <v>18.7087684</v>
      </c>
      <c r="R16" s="3">
        <f>O16+40%*O16</f>
        <v>0.98</v>
      </c>
      <c r="S16" s="23">
        <f t="shared" si="17"/>
        <v>4.9000000000000002E-2</v>
      </c>
      <c r="T16" s="3">
        <f>Q16+36.78%*Q16</f>
        <v>25.589853417520001</v>
      </c>
      <c r="U16" s="3">
        <f>R16+40%*R16</f>
        <v>1.3719999999999999</v>
      </c>
      <c r="V16" s="23">
        <f t="shared" si="18"/>
        <v>6.8599999999999994E-2</v>
      </c>
      <c r="W16" s="69">
        <f>T16+36.78%*T16</f>
        <v>35.001801504483858</v>
      </c>
      <c r="X16" s="69">
        <f>U16+40%*U16</f>
        <v>1.9207999999999998</v>
      </c>
      <c r="Y16" s="23">
        <f t="shared" si="19"/>
        <v>9.604E-2</v>
      </c>
      <c r="Z16" s="3">
        <f t="shared" si="20"/>
        <v>38.501981654932244</v>
      </c>
      <c r="AA16" s="3">
        <f t="shared" si="21"/>
        <v>2.20892</v>
      </c>
      <c r="AB16" s="23">
        <f t="shared" si="22"/>
        <v>0.110446</v>
      </c>
      <c r="AC16" s="3">
        <f t="shared" si="23"/>
        <v>42.352179820425469</v>
      </c>
      <c r="AD16" s="3">
        <f t="shared" si="24"/>
        <v>2.5402580000000001</v>
      </c>
      <c r="AE16" s="23">
        <f t="shared" si="25"/>
        <v>0.12701290000000001</v>
      </c>
      <c r="AF16" s="3">
        <f t="shared" si="26"/>
        <v>46.587397802468018</v>
      </c>
      <c r="AG16" s="3">
        <f t="shared" si="27"/>
        <v>2.9212967000000001</v>
      </c>
      <c r="AH16" s="23">
        <f t="shared" si="28"/>
        <v>0.146064835</v>
      </c>
      <c r="AI16" s="3">
        <f t="shared" si="29"/>
        <v>51.246137582714823</v>
      </c>
      <c r="AJ16" s="3">
        <f t="shared" si="30"/>
        <v>3.3594912050000003</v>
      </c>
      <c r="AK16" s="23">
        <f t="shared" si="31"/>
        <v>0.16797456025000002</v>
      </c>
      <c r="AL16" s="3">
        <f t="shared" si="32"/>
        <v>56.370751340986303</v>
      </c>
      <c r="AM16" s="3">
        <f t="shared" si="33"/>
        <v>3.8634148857500001</v>
      </c>
      <c r="AN16" s="23">
        <f t="shared" si="34"/>
        <v>0.19317074428750003</v>
      </c>
    </row>
    <row r="17" spans="3:47" ht="15.6" thickTop="1" thickBot="1" x14ac:dyDescent="0.35">
      <c r="C17" s="20" t="s">
        <v>114</v>
      </c>
      <c r="D17" s="2">
        <v>1</v>
      </c>
      <c r="E17" s="3">
        <f>D17*8%</f>
        <v>0.08</v>
      </c>
      <c r="F17" s="2"/>
      <c r="G17" s="23">
        <f t="shared" si="14"/>
        <v>4.0000000000000001E-3</v>
      </c>
      <c r="H17" s="2"/>
      <c r="I17" s="3">
        <f t="shared" si="15"/>
        <v>7.5999999999999998E-2</v>
      </c>
      <c r="M17" s="20" t="s">
        <v>114</v>
      </c>
      <c r="N17" s="3">
        <f>D17+82%*D17</f>
        <v>1.8199999999999998</v>
      </c>
      <c r="O17" s="3">
        <f>E17+96%*E17</f>
        <v>0.15679999999999999</v>
      </c>
      <c r="P17" s="23">
        <f t="shared" si="16"/>
        <v>7.8399999999999997E-3</v>
      </c>
      <c r="Q17" s="3">
        <f>N17+82%*N17</f>
        <v>3.3123999999999993</v>
      </c>
      <c r="R17" s="3">
        <f>O17+96%*O17</f>
        <v>0.30732799999999999</v>
      </c>
      <c r="S17" s="23">
        <f t="shared" si="17"/>
        <v>1.5366400000000001E-2</v>
      </c>
      <c r="T17" s="3">
        <f>Q17+82%*Q17</f>
        <v>6.0285679999999982</v>
      </c>
      <c r="U17" s="3">
        <f>R17+96%*R17</f>
        <v>0.60236288000000004</v>
      </c>
      <c r="V17" s="23">
        <f t="shared" si="18"/>
        <v>3.0118144000000003E-2</v>
      </c>
      <c r="W17" s="69">
        <f>T17+82%*T17</f>
        <v>10.971993759999997</v>
      </c>
      <c r="X17" s="69">
        <f>U17+96%*U17</f>
        <v>1.1806312448</v>
      </c>
      <c r="Y17" s="23">
        <f t="shared" si="19"/>
        <v>5.9031562240000002E-2</v>
      </c>
      <c r="Z17" s="3">
        <f t="shared" si="20"/>
        <v>12.069193135999996</v>
      </c>
      <c r="AA17" s="3">
        <f t="shared" si="21"/>
        <v>1.3577259315200001</v>
      </c>
      <c r="AB17" s="23">
        <f t="shared" si="22"/>
        <v>6.788629657600001E-2</v>
      </c>
      <c r="AC17" s="3">
        <f t="shared" si="23"/>
        <v>13.276112449599996</v>
      </c>
      <c r="AD17" s="3">
        <f t="shared" si="24"/>
        <v>1.5613848212480002</v>
      </c>
      <c r="AE17" s="23">
        <f t="shared" si="25"/>
        <v>7.8069241062400013E-2</v>
      </c>
      <c r="AF17" s="3">
        <f t="shared" si="26"/>
        <v>14.603723694559996</v>
      </c>
      <c r="AG17" s="3">
        <f t="shared" si="27"/>
        <v>1.7955925444352001</v>
      </c>
      <c r="AH17" s="23">
        <f t="shared" si="28"/>
        <v>8.9779627221760014E-2</v>
      </c>
      <c r="AI17" s="3">
        <f t="shared" si="29"/>
        <v>16.064096064015995</v>
      </c>
      <c r="AJ17" s="3">
        <f t="shared" si="30"/>
        <v>2.0649314261004803</v>
      </c>
      <c r="AK17" s="23">
        <f t="shared" si="31"/>
        <v>0.10324657130502402</v>
      </c>
      <c r="AL17" s="3">
        <f t="shared" si="32"/>
        <v>17.670505670417594</v>
      </c>
      <c r="AM17" s="3">
        <f t="shared" si="33"/>
        <v>2.3746711400155522</v>
      </c>
      <c r="AN17" s="23">
        <f t="shared" si="34"/>
        <v>0.11873355700077762</v>
      </c>
    </row>
    <row r="18" spans="3:47" ht="15.6" thickTop="1" thickBot="1" x14ac:dyDescent="0.35">
      <c r="C18" s="20" t="s">
        <v>115</v>
      </c>
      <c r="D18" s="2">
        <v>0.25</v>
      </c>
      <c r="E18" s="3">
        <f>D18*8%</f>
        <v>0.02</v>
      </c>
      <c r="F18" s="2"/>
      <c r="G18" s="23">
        <f t="shared" si="14"/>
        <v>1E-3</v>
      </c>
      <c r="H18" s="2"/>
      <c r="I18" s="3">
        <f t="shared" ref="I18:I25" si="35">E18-G18</f>
        <v>1.9E-2</v>
      </c>
      <c r="M18" s="20" t="s">
        <v>115</v>
      </c>
      <c r="N18" s="3">
        <f>D18+40%*D18</f>
        <v>0.35</v>
      </c>
      <c r="O18" s="3">
        <f>E18+40%*E18</f>
        <v>2.8000000000000001E-2</v>
      </c>
      <c r="P18" s="23">
        <f t="shared" si="16"/>
        <v>1.4000000000000002E-3</v>
      </c>
      <c r="Q18" s="3">
        <f>N18+40%*N18</f>
        <v>0.49</v>
      </c>
      <c r="R18" s="3">
        <f>O18+40%*O18</f>
        <v>3.9199999999999999E-2</v>
      </c>
      <c r="S18" s="23">
        <f t="shared" si="17"/>
        <v>1.9599999999999999E-3</v>
      </c>
      <c r="T18" s="3">
        <f>Q18+40%*Q18</f>
        <v>0.68599999999999994</v>
      </c>
      <c r="U18" s="3">
        <f>R18+40%*R18</f>
        <v>5.4879999999999998E-2</v>
      </c>
      <c r="V18" s="23">
        <f t="shared" si="18"/>
        <v>2.7439999999999999E-3</v>
      </c>
      <c r="W18" s="69">
        <f>T18+40%*T18</f>
        <v>0.96039999999999992</v>
      </c>
      <c r="X18" s="69">
        <f>U18+40%*U18</f>
        <v>7.6831999999999998E-2</v>
      </c>
      <c r="Y18" s="23">
        <f t="shared" ref="Y18:Y25" si="36">X18*5%</f>
        <v>3.8416000000000001E-3</v>
      </c>
      <c r="Z18" s="3">
        <f t="shared" si="20"/>
        <v>1.0564399999999998</v>
      </c>
      <c r="AA18" s="3">
        <f t="shared" si="21"/>
        <v>8.8356799999999999E-2</v>
      </c>
      <c r="AB18" s="23">
        <f t="shared" ref="AB18:AB25" si="37">AA18*5%</f>
        <v>4.4178400000000001E-3</v>
      </c>
      <c r="AC18" s="3">
        <f t="shared" si="23"/>
        <v>1.1620839999999999</v>
      </c>
      <c r="AD18" s="3">
        <f t="shared" si="24"/>
        <v>0.10161032</v>
      </c>
      <c r="AE18" s="23">
        <f t="shared" ref="AE18:AE25" si="38">AD18*5%</f>
        <v>5.0805160000000002E-3</v>
      </c>
      <c r="AF18" s="3">
        <f t="shared" si="26"/>
        <v>1.2782923999999998</v>
      </c>
      <c r="AG18" s="3">
        <f t="shared" si="27"/>
        <v>0.116851868</v>
      </c>
      <c r="AH18" s="23">
        <f t="shared" ref="AH18:AH25" si="39">AG18*5%</f>
        <v>5.8425934000000002E-3</v>
      </c>
      <c r="AI18" s="3">
        <f t="shared" si="29"/>
        <v>1.4061216399999998</v>
      </c>
      <c r="AJ18" s="3">
        <f t="shared" si="30"/>
        <v>0.13437964820000001</v>
      </c>
      <c r="AK18" s="23">
        <f t="shared" ref="AK18:AK25" si="40">AJ18*5%</f>
        <v>6.718982410000001E-3</v>
      </c>
      <c r="AL18" s="3">
        <f t="shared" si="32"/>
        <v>1.5467338039999998</v>
      </c>
      <c r="AM18" s="3">
        <f t="shared" si="33"/>
        <v>0.15453659543000001</v>
      </c>
      <c r="AN18" s="23">
        <f t="shared" ref="AN18:AN25" si="41">AM18*5%</f>
        <v>7.7268297715000003E-3</v>
      </c>
      <c r="AT18" t="s">
        <v>198</v>
      </c>
      <c r="AU18" s="29">
        <v>2247.9438738883637</v>
      </c>
    </row>
    <row r="19" spans="3:47" ht="15.6" thickTop="1" thickBot="1" x14ac:dyDescent="0.35">
      <c r="C19" s="20" t="s">
        <v>116</v>
      </c>
      <c r="D19" s="2">
        <v>5</v>
      </c>
      <c r="E19" s="3">
        <f>D19*10%</f>
        <v>0.5</v>
      </c>
      <c r="F19" s="2"/>
      <c r="G19" s="23">
        <f t="shared" si="14"/>
        <v>2.5000000000000001E-2</v>
      </c>
      <c r="H19" s="2"/>
      <c r="I19" s="3">
        <f t="shared" si="35"/>
        <v>0.47499999999999998</v>
      </c>
      <c r="M19" s="20" t="s">
        <v>116</v>
      </c>
      <c r="N19" s="3">
        <f>D19+62.66%*D19</f>
        <v>8.1329999999999991</v>
      </c>
      <c r="O19" s="3">
        <f>E19+45%*E19</f>
        <v>0.72499999999999998</v>
      </c>
      <c r="P19" s="23">
        <f t="shared" si="16"/>
        <v>3.6249999999999998E-2</v>
      </c>
      <c r="Q19" s="3">
        <f>N19+62.66%*N19</f>
        <v>13.229137799999998</v>
      </c>
      <c r="R19" s="3">
        <f>O19+45%*O19</f>
        <v>1.05125</v>
      </c>
      <c r="S19" s="23">
        <f t="shared" si="17"/>
        <v>5.2562500000000005E-2</v>
      </c>
      <c r="T19" s="3">
        <f>Q19+62.66%*Q19</f>
        <v>21.518515545479996</v>
      </c>
      <c r="U19" s="3">
        <f>R19+45%*R19</f>
        <v>1.5243125</v>
      </c>
      <c r="V19" s="23">
        <f t="shared" si="18"/>
        <v>7.6215625000000009E-2</v>
      </c>
      <c r="W19" s="69">
        <f>T19+62.66%*T19</f>
        <v>35.002017386277757</v>
      </c>
      <c r="X19" s="69">
        <f>U19+45%*U19</f>
        <v>2.2102531249999999</v>
      </c>
      <c r="Y19" s="23">
        <f t="shared" si="36"/>
        <v>0.11051265625000001</v>
      </c>
      <c r="Z19" s="3">
        <f t="shared" si="20"/>
        <v>38.50221912490553</v>
      </c>
      <c r="AA19" s="3">
        <f t="shared" si="21"/>
        <v>2.5417910937499997</v>
      </c>
      <c r="AB19" s="23">
        <f t="shared" si="37"/>
        <v>0.12708955468749999</v>
      </c>
      <c r="AC19" s="3">
        <f t="shared" si="23"/>
        <v>42.352441037396083</v>
      </c>
      <c r="AD19" s="3">
        <f t="shared" si="24"/>
        <v>2.9230597578124997</v>
      </c>
      <c r="AE19" s="23">
        <f t="shared" si="38"/>
        <v>0.146152987890625</v>
      </c>
      <c r="AF19" s="3">
        <f t="shared" si="26"/>
        <v>46.587685141135694</v>
      </c>
      <c r="AG19" s="3">
        <f t="shared" si="27"/>
        <v>3.3615187214843747</v>
      </c>
      <c r="AH19" s="23">
        <f t="shared" si="39"/>
        <v>0.16807593607421875</v>
      </c>
      <c r="AI19" s="3">
        <f t="shared" si="29"/>
        <v>51.246453655249262</v>
      </c>
      <c r="AJ19" s="3">
        <f t="shared" si="30"/>
        <v>3.8657465297070308</v>
      </c>
      <c r="AK19" s="23">
        <f t="shared" si="40"/>
        <v>0.19328732648535155</v>
      </c>
      <c r="AL19" s="3">
        <f t="shared" si="32"/>
        <v>56.371099020774189</v>
      </c>
      <c r="AM19" s="3">
        <f t="shared" si="33"/>
        <v>4.445608509163085</v>
      </c>
      <c r="AN19" s="23">
        <f t="shared" si="41"/>
        <v>0.22228042545815427</v>
      </c>
      <c r="AT19" t="s">
        <v>23</v>
      </c>
      <c r="AU19" s="29">
        <v>685.67608407747741</v>
      </c>
    </row>
    <row r="20" spans="3:47" ht="15.6" thickTop="1" thickBot="1" x14ac:dyDescent="0.35">
      <c r="C20" s="20" t="s">
        <v>117</v>
      </c>
      <c r="D20" s="2">
        <v>10</v>
      </c>
      <c r="E20" s="3">
        <f>D20*6%</f>
        <v>0.6</v>
      </c>
      <c r="F20" s="2"/>
      <c r="G20" s="23">
        <f t="shared" si="14"/>
        <v>0.03</v>
      </c>
      <c r="H20" s="2"/>
      <c r="I20" s="3">
        <f t="shared" si="35"/>
        <v>0.56999999999999995</v>
      </c>
      <c r="M20" s="20" t="s">
        <v>117</v>
      </c>
      <c r="N20" s="3">
        <f>D20+80%*D20</f>
        <v>18</v>
      </c>
      <c r="O20" s="3">
        <f>E20+70%*E20</f>
        <v>1.02</v>
      </c>
      <c r="P20" s="23">
        <f t="shared" si="16"/>
        <v>5.1000000000000004E-2</v>
      </c>
      <c r="Q20" s="3">
        <f>N20+80%*N20</f>
        <v>32.4</v>
      </c>
      <c r="R20" s="3">
        <f>O20+70%*O20</f>
        <v>1.734</v>
      </c>
      <c r="S20" s="23">
        <f t="shared" si="17"/>
        <v>8.6699999999999999E-2</v>
      </c>
      <c r="T20" s="3">
        <f>Q20+80%*Q20</f>
        <v>58.32</v>
      </c>
      <c r="U20" s="3">
        <f>R20+70%*R20</f>
        <v>2.9478</v>
      </c>
      <c r="V20" s="23">
        <f t="shared" si="18"/>
        <v>0.14738999999999999</v>
      </c>
      <c r="W20" s="69">
        <f>T20+80%*T20</f>
        <v>104.976</v>
      </c>
      <c r="X20" s="69">
        <f>U20+70%*U20</f>
        <v>5.01126</v>
      </c>
      <c r="Y20" s="23">
        <f t="shared" si="36"/>
        <v>0.25056300000000004</v>
      </c>
      <c r="Z20" s="3">
        <f t="shared" si="20"/>
        <v>115.4736</v>
      </c>
      <c r="AA20" s="3">
        <f t="shared" si="21"/>
        <v>5.7629489999999999</v>
      </c>
      <c r="AB20" s="23">
        <f t="shared" si="37"/>
        <v>0.28814745000000003</v>
      </c>
      <c r="AC20" s="3">
        <f t="shared" si="23"/>
        <v>127.02096</v>
      </c>
      <c r="AD20" s="3">
        <f t="shared" si="24"/>
        <v>6.6273913499999999</v>
      </c>
      <c r="AE20" s="23">
        <f t="shared" si="38"/>
        <v>0.33136956750000002</v>
      </c>
      <c r="AF20" s="3">
        <f t="shared" si="26"/>
        <v>139.72305600000001</v>
      </c>
      <c r="AG20" s="3">
        <f t="shared" si="27"/>
        <v>7.6215000525000001</v>
      </c>
      <c r="AH20" s="23">
        <f t="shared" si="39"/>
        <v>0.38107500262500005</v>
      </c>
      <c r="AI20" s="3">
        <f t="shared" si="29"/>
        <v>153.69536160000001</v>
      </c>
      <c r="AJ20" s="3">
        <f t="shared" si="30"/>
        <v>8.7647250603749995</v>
      </c>
      <c r="AK20" s="23">
        <f t="shared" si="40"/>
        <v>0.43823625301875002</v>
      </c>
      <c r="AL20" s="3">
        <f t="shared" si="32"/>
        <v>169.06489776000001</v>
      </c>
      <c r="AM20" s="3">
        <f t="shared" si="33"/>
        <v>10.07943381943125</v>
      </c>
      <c r="AN20" s="23">
        <f t="shared" si="41"/>
        <v>0.50397169097156247</v>
      </c>
      <c r="AT20" t="s">
        <v>9</v>
      </c>
      <c r="AU20" s="29">
        <v>738.58881301144925</v>
      </c>
    </row>
    <row r="21" spans="3:47" ht="15.6" thickTop="1" thickBot="1" x14ac:dyDescent="0.35">
      <c r="C21" s="20" t="s">
        <v>118</v>
      </c>
      <c r="D21" s="2">
        <v>1</v>
      </c>
      <c r="E21" s="3">
        <f>D21*13%</f>
        <v>0.13</v>
      </c>
      <c r="F21" s="2"/>
      <c r="G21" s="23">
        <f t="shared" si="14"/>
        <v>6.5000000000000006E-3</v>
      </c>
      <c r="H21" s="2"/>
      <c r="I21" s="3">
        <f t="shared" si="35"/>
        <v>0.1235</v>
      </c>
      <c r="M21" s="20" t="s">
        <v>118</v>
      </c>
      <c r="N21" s="3">
        <f>D21+88%*D21</f>
        <v>1.88</v>
      </c>
      <c r="O21" s="3">
        <f>E21+75%*E21</f>
        <v>0.22750000000000001</v>
      </c>
      <c r="P21" s="23">
        <f t="shared" si="16"/>
        <v>1.1375000000000001E-2</v>
      </c>
      <c r="Q21" s="3">
        <f>N21+88%*N21</f>
        <v>3.5343999999999998</v>
      </c>
      <c r="R21" s="3">
        <f>O21+75%*O21</f>
        <v>0.39812500000000001</v>
      </c>
      <c r="S21" s="23">
        <f t="shared" si="17"/>
        <v>1.990625E-2</v>
      </c>
      <c r="T21" s="3">
        <f>Q21+88%*Q21</f>
        <v>6.6446719999999999</v>
      </c>
      <c r="U21" s="3">
        <f>R21+75%*R21</f>
        <v>0.69671875000000005</v>
      </c>
      <c r="V21" s="23">
        <f t="shared" si="18"/>
        <v>3.4835937500000004E-2</v>
      </c>
      <c r="W21" s="69">
        <f>T21+88%*T21</f>
        <v>12.491983359999999</v>
      </c>
      <c r="X21" s="69">
        <f>U21+75%*U21</f>
        <v>1.2192578125</v>
      </c>
      <c r="Y21" s="23">
        <f t="shared" si="36"/>
        <v>6.0962890625000002E-2</v>
      </c>
      <c r="Z21" s="3">
        <f t="shared" si="20"/>
        <v>13.741181695999998</v>
      </c>
      <c r="AA21" s="3">
        <f t="shared" si="21"/>
        <v>1.402146484375</v>
      </c>
      <c r="AB21" s="23">
        <f t="shared" si="37"/>
        <v>7.0107324218750003E-2</v>
      </c>
      <c r="AC21" s="3">
        <f t="shared" si="23"/>
        <v>15.115299865599997</v>
      </c>
      <c r="AD21" s="3">
        <f t="shared" si="24"/>
        <v>1.61246845703125</v>
      </c>
      <c r="AE21" s="23">
        <f t="shared" si="38"/>
        <v>8.0623422851562501E-2</v>
      </c>
      <c r="AF21" s="3">
        <f t="shared" si="26"/>
        <v>16.626829852159997</v>
      </c>
      <c r="AG21" s="3">
        <f t="shared" si="27"/>
        <v>1.8543387255859374</v>
      </c>
      <c r="AH21" s="23">
        <f t="shared" si="39"/>
        <v>9.2716936279296877E-2</v>
      </c>
      <c r="AI21" s="3">
        <f t="shared" si="29"/>
        <v>18.289512837375995</v>
      </c>
      <c r="AJ21" s="3">
        <f t="shared" si="30"/>
        <v>2.1324895344238279</v>
      </c>
      <c r="AK21" s="23">
        <f t="shared" si="40"/>
        <v>0.10662447672119141</v>
      </c>
      <c r="AL21" s="3">
        <f t="shared" si="32"/>
        <v>20.118464121113593</v>
      </c>
      <c r="AM21" s="3">
        <f t="shared" si="33"/>
        <v>2.4523629645874019</v>
      </c>
      <c r="AN21" s="23">
        <f t="shared" si="41"/>
        <v>0.1226181482293701</v>
      </c>
      <c r="AT21" t="s">
        <v>94</v>
      </c>
      <c r="AU21" s="29">
        <v>594.05392330887776</v>
      </c>
    </row>
    <row r="22" spans="3:47" ht="15.6" thickTop="1" thickBot="1" x14ac:dyDescent="0.35">
      <c r="C22" s="20" t="s">
        <v>119</v>
      </c>
      <c r="D22" s="2">
        <v>1</v>
      </c>
      <c r="E22" s="3">
        <f>D22*9%</f>
        <v>0.09</v>
      </c>
      <c r="F22" s="2"/>
      <c r="G22" s="23">
        <f t="shared" si="14"/>
        <v>4.4999999999999997E-3</v>
      </c>
      <c r="H22" s="2"/>
      <c r="I22" s="3">
        <f t="shared" si="35"/>
        <v>8.5499999999999993E-2</v>
      </c>
      <c r="M22" s="20" t="s">
        <v>119</v>
      </c>
      <c r="N22" s="3">
        <f>D22+118%*D22</f>
        <v>2.1799999999999997</v>
      </c>
      <c r="O22" s="3">
        <f>E22+85%*E22</f>
        <v>0.16649999999999998</v>
      </c>
      <c r="P22" s="23">
        <f t="shared" si="16"/>
        <v>8.3249999999999991E-3</v>
      </c>
      <c r="Q22" s="3">
        <f>N22+118%*N22</f>
        <v>4.7523999999999997</v>
      </c>
      <c r="R22" s="3">
        <f>O22+85%*O22</f>
        <v>0.30802499999999999</v>
      </c>
      <c r="S22" s="23">
        <f t="shared" si="17"/>
        <v>1.540125E-2</v>
      </c>
      <c r="T22" s="3">
        <f>Q22+118%*Q22</f>
        <v>10.360232</v>
      </c>
      <c r="U22" s="3">
        <f>R22+85%*R22</f>
        <v>0.56984625</v>
      </c>
      <c r="V22" s="23">
        <f t="shared" si="18"/>
        <v>2.8492312500000002E-2</v>
      </c>
      <c r="W22" s="69">
        <f>T22+118%*T22</f>
        <v>22.585305759999997</v>
      </c>
      <c r="X22" s="69">
        <f>U22+85%*U22</f>
        <v>1.0542155625</v>
      </c>
      <c r="Y22" s="23">
        <f t="shared" si="36"/>
        <v>5.2710778125000003E-2</v>
      </c>
      <c r="Z22" s="3">
        <f t="shared" si="20"/>
        <v>24.843836335999995</v>
      </c>
      <c r="AA22" s="3">
        <f t="shared" si="21"/>
        <v>1.2123478968750001</v>
      </c>
      <c r="AB22" s="23">
        <f t="shared" si="37"/>
        <v>6.0617394843750005E-2</v>
      </c>
      <c r="AC22" s="3">
        <f t="shared" si="23"/>
        <v>27.328219969599996</v>
      </c>
      <c r="AD22" s="3">
        <f t="shared" si="24"/>
        <v>1.3942000814062501</v>
      </c>
      <c r="AE22" s="23">
        <f t="shared" si="38"/>
        <v>6.9710004070312512E-2</v>
      </c>
      <c r="AF22" s="3">
        <f t="shared" si="26"/>
        <v>30.061041966559994</v>
      </c>
      <c r="AG22" s="3">
        <f t="shared" si="27"/>
        <v>1.6033300936171875</v>
      </c>
      <c r="AH22" s="23">
        <f t="shared" si="39"/>
        <v>8.0166504680859382E-2</v>
      </c>
      <c r="AI22" s="3">
        <f t="shared" si="29"/>
        <v>33.067146163215995</v>
      </c>
      <c r="AJ22" s="3">
        <f t="shared" si="30"/>
        <v>1.8438296076597656</v>
      </c>
      <c r="AK22" s="23">
        <f t="shared" si="40"/>
        <v>9.2191480382988286E-2</v>
      </c>
      <c r="AL22" s="3">
        <f t="shared" si="32"/>
        <v>36.373860779537594</v>
      </c>
      <c r="AM22" s="3">
        <f t="shared" si="33"/>
        <v>2.1204040488087306</v>
      </c>
      <c r="AN22" s="23">
        <f t="shared" si="41"/>
        <v>0.10602020244043653</v>
      </c>
    </row>
    <row r="23" spans="3:47" ht="15.6" thickTop="1" thickBot="1" x14ac:dyDescent="0.35">
      <c r="C23" s="20" t="s">
        <v>120</v>
      </c>
      <c r="D23" s="2">
        <v>1</v>
      </c>
      <c r="E23" s="3">
        <f>D23*6%</f>
        <v>0.06</v>
      </c>
      <c r="F23" s="2"/>
      <c r="G23" s="23">
        <f t="shared" si="14"/>
        <v>3.0000000000000001E-3</v>
      </c>
      <c r="H23" s="2"/>
      <c r="I23" s="3">
        <f t="shared" si="35"/>
        <v>5.6999999999999995E-2</v>
      </c>
      <c r="M23" s="20" t="s">
        <v>120</v>
      </c>
      <c r="N23" s="3">
        <f>D23+118%*D23</f>
        <v>2.1799999999999997</v>
      </c>
      <c r="O23" s="3">
        <f>E23+110%*E23</f>
        <v>0.126</v>
      </c>
      <c r="P23" s="23">
        <f t="shared" si="16"/>
        <v>6.3E-3</v>
      </c>
      <c r="Q23" s="3">
        <f>N23+118%*N23</f>
        <v>4.7523999999999997</v>
      </c>
      <c r="R23" s="3">
        <f>O23+110%*O23</f>
        <v>0.2646</v>
      </c>
      <c r="S23" s="23">
        <f t="shared" si="17"/>
        <v>1.323E-2</v>
      </c>
      <c r="T23" s="3">
        <f>Q23+118%*Q23</f>
        <v>10.360232</v>
      </c>
      <c r="U23" s="3">
        <f>R23+110%*R23</f>
        <v>0.55566000000000004</v>
      </c>
      <c r="V23" s="23">
        <f t="shared" si="18"/>
        <v>2.7783000000000002E-2</v>
      </c>
      <c r="W23" s="69">
        <f>T23+118%*T23</f>
        <v>22.585305759999997</v>
      </c>
      <c r="X23" s="69">
        <f>U23+110%*U23</f>
        <v>1.1668860000000001</v>
      </c>
      <c r="Y23" s="23">
        <f t="shared" si="36"/>
        <v>5.8344300000000009E-2</v>
      </c>
      <c r="Z23" s="3">
        <f t="shared" si="20"/>
        <v>24.843836335999995</v>
      </c>
      <c r="AA23" s="3">
        <f t="shared" si="21"/>
        <v>1.3419189</v>
      </c>
      <c r="AB23" s="23">
        <f t="shared" si="37"/>
        <v>6.7095945000000004E-2</v>
      </c>
      <c r="AC23" s="3">
        <f t="shared" si="23"/>
        <v>27.328219969599996</v>
      </c>
      <c r="AD23" s="3">
        <f t="shared" si="24"/>
        <v>1.5432067350000001</v>
      </c>
      <c r="AE23" s="23">
        <f t="shared" si="38"/>
        <v>7.7160336750000003E-2</v>
      </c>
      <c r="AF23" s="3">
        <f t="shared" si="26"/>
        <v>30.061041966559994</v>
      </c>
      <c r="AG23" s="3">
        <f t="shared" si="27"/>
        <v>1.7746877452500001</v>
      </c>
      <c r="AH23" s="23">
        <f t="shared" si="39"/>
        <v>8.8734387262500006E-2</v>
      </c>
      <c r="AI23" s="3">
        <f t="shared" si="29"/>
        <v>33.067146163215995</v>
      </c>
      <c r="AJ23" s="3">
        <f t="shared" si="30"/>
        <v>2.0408909070374999</v>
      </c>
      <c r="AK23" s="23">
        <f t="shared" si="40"/>
        <v>0.102044545351875</v>
      </c>
      <c r="AL23" s="3">
        <f t="shared" si="32"/>
        <v>36.373860779537594</v>
      </c>
      <c r="AM23" s="3">
        <f t="shared" si="33"/>
        <v>2.3470245430931249</v>
      </c>
      <c r="AN23" s="23">
        <f t="shared" si="41"/>
        <v>0.11735122715465625</v>
      </c>
    </row>
    <row r="24" spans="3:47" ht="15.6" thickTop="1" thickBot="1" x14ac:dyDescent="0.35">
      <c r="C24" s="20" t="s">
        <v>121</v>
      </c>
      <c r="D24" s="2">
        <v>1</v>
      </c>
      <c r="E24" s="3">
        <f>D24*5%</f>
        <v>0.05</v>
      </c>
      <c r="F24" s="2"/>
      <c r="G24" s="23">
        <f t="shared" si="14"/>
        <v>2.5000000000000005E-3</v>
      </c>
      <c r="H24" s="2"/>
      <c r="I24" s="3">
        <f t="shared" si="35"/>
        <v>4.7500000000000001E-2</v>
      </c>
      <c r="M24" s="20" t="s">
        <v>121</v>
      </c>
      <c r="N24" s="3">
        <f>D24+187%*D24</f>
        <v>2.87</v>
      </c>
      <c r="O24" s="3">
        <f t="shared" ref="O24" si="42">E24+23.59%*E24</f>
        <v>6.1795000000000003E-2</v>
      </c>
      <c r="P24" s="23">
        <f t="shared" si="16"/>
        <v>3.0897500000000005E-3</v>
      </c>
      <c r="Q24" s="3">
        <f>N24+187%*N24</f>
        <v>8.2369000000000003</v>
      </c>
      <c r="R24" s="3">
        <f t="shared" ref="R24" si="43">O24+23.59%*O24</f>
        <v>7.63724405E-2</v>
      </c>
      <c r="S24" s="23">
        <f t="shared" si="17"/>
        <v>3.8186220250000001E-3</v>
      </c>
      <c r="T24" s="3">
        <f>Q24+187%*Q24</f>
        <v>23.639903000000004</v>
      </c>
      <c r="U24" s="3">
        <f t="shared" ref="U24" si="44">R24+23.59%*R24</f>
        <v>9.4388699213950003E-2</v>
      </c>
      <c r="V24" s="23">
        <f t="shared" si="18"/>
        <v>4.7194349606975005E-3</v>
      </c>
      <c r="W24" s="69">
        <f>T24+187%*T24</f>
        <v>67.846521610000011</v>
      </c>
      <c r="X24" s="69">
        <f t="shared" ref="X24" si="45">U24+23.59%*U24</f>
        <v>0.11665499335852081</v>
      </c>
      <c r="Y24" s="23">
        <f t="shared" si="36"/>
        <v>5.8327496679260408E-3</v>
      </c>
      <c r="Z24" s="3">
        <f t="shared" si="20"/>
        <v>74.631173771000007</v>
      </c>
      <c r="AA24" s="3">
        <f t="shared" si="21"/>
        <v>0.13415324236229892</v>
      </c>
      <c r="AB24" s="23">
        <f t="shared" si="37"/>
        <v>6.7076621181149463E-3</v>
      </c>
      <c r="AC24" s="3">
        <f t="shared" si="23"/>
        <v>82.094291148100012</v>
      </c>
      <c r="AD24" s="3">
        <f t="shared" si="24"/>
        <v>0.15427622871664376</v>
      </c>
      <c r="AE24" s="23">
        <f t="shared" si="38"/>
        <v>7.7138114358321882E-3</v>
      </c>
      <c r="AF24" s="3">
        <f t="shared" si="26"/>
        <v>90.303720262910019</v>
      </c>
      <c r="AG24" s="3">
        <f t="shared" si="27"/>
        <v>0.17741766302414033</v>
      </c>
      <c r="AH24" s="23">
        <f t="shared" si="39"/>
        <v>8.8708831512070169E-3</v>
      </c>
      <c r="AI24" s="3">
        <f t="shared" si="29"/>
        <v>99.334092289201024</v>
      </c>
      <c r="AJ24" s="3">
        <f t="shared" si="30"/>
        <v>0.20403031247776138</v>
      </c>
      <c r="AK24" s="23">
        <f t="shared" si="40"/>
        <v>1.0201515623888069E-2</v>
      </c>
      <c r="AL24" s="3">
        <f t="shared" si="32"/>
        <v>109.26750151812112</v>
      </c>
      <c r="AM24" s="3">
        <f t="shared" si="33"/>
        <v>0.23463485934942557</v>
      </c>
      <c r="AN24" s="23">
        <f t="shared" si="41"/>
        <v>1.173174296747128E-2</v>
      </c>
    </row>
    <row r="25" spans="3:47" ht="15.6" thickTop="1" thickBot="1" x14ac:dyDescent="0.35">
      <c r="C25" s="20" t="s">
        <v>124</v>
      </c>
      <c r="D25" s="2">
        <v>1</v>
      </c>
      <c r="E25" s="3">
        <f>D25*8%</f>
        <v>0.08</v>
      </c>
      <c r="F25" s="2"/>
      <c r="G25" s="23">
        <f t="shared" si="14"/>
        <v>4.0000000000000001E-3</v>
      </c>
      <c r="H25" s="2"/>
      <c r="I25" s="3">
        <f t="shared" si="35"/>
        <v>7.5999999999999998E-2</v>
      </c>
      <c r="M25" s="20" t="s">
        <v>124</v>
      </c>
      <c r="N25" s="3">
        <f>D25+68.18%*D25</f>
        <v>1.6818</v>
      </c>
      <c r="O25" s="3">
        <f>E25+110%*E25</f>
        <v>0.16800000000000001</v>
      </c>
      <c r="P25" s="23">
        <f t="shared" si="16"/>
        <v>8.4000000000000012E-3</v>
      </c>
      <c r="Q25" s="3">
        <f>N25+68.18%*N25</f>
        <v>2.8284512400000001</v>
      </c>
      <c r="R25" s="3">
        <f>O25+110%*O25</f>
        <v>0.3528</v>
      </c>
      <c r="S25" s="23">
        <f t="shared" si="17"/>
        <v>1.7639999999999999E-2</v>
      </c>
      <c r="T25" s="3">
        <f>Q25+68.18%*Q25</f>
        <v>4.7568892954319999</v>
      </c>
      <c r="U25" s="3">
        <f>R25+110%*R25</f>
        <v>0.74087999999999998</v>
      </c>
      <c r="V25" s="23">
        <f t="shared" si="18"/>
        <v>3.7044000000000001E-2</v>
      </c>
      <c r="W25" s="69">
        <f>T25+68.18%*T25</f>
        <v>8.0001364170575382</v>
      </c>
      <c r="X25" s="69">
        <f>U25+110%*U25</f>
        <v>1.5558480000000001</v>
      </c>
      <c r="Y25" s="23">
        <f t="shared" si="36"/>
        <v>7.7792400000000012E-2</v>
      </c>
      <c r="Z25" s="3">
        <f t="shared" si="20"/>
        <v>8.8001500587632915</v>
      </c>
      <c r="AA25" s="3">
        <f t="shared" si="21"/>
        <v>1.7892252000000002</v>
      </c>
      <c r="AB25" s="23">
        <f t="shared" si="37"/>
        <v>8.9461260000000015E-2</v>
      </c>
      <c r="AC25" s="3">
        <f t="shared" si="23"/>
        <v>9.6801650646396205</v>
      </c>
      <c r="AD25" s="3">
        <f t="shared" si="24"/>
        <v>2.0576089800000004</v>
      </c>
      <c r="AE25" s="23">
        <f t="shared" si="38"/>
        <v>0.10288044900000003</v>
      </c>
      <c r="AF25" s="3">
        <f t="shared" si="26"/>
        <v>10.648181571103583</v>
      </c>
      <c r="AG25" s="3">
        <f t="shared" si="27"/>
        <v>2.3662503270000004</v>
      </c>
      <c r="AH25" s="23">
        <f t="shared" si="39"/>
        <v>0.11831251635000002</v>
      </c>
      <c r="AI25" s="3">
        <f t="shared" si="29"/>
        <v>11.712999728213941</v>
      </c>
      <c r="AJ25" s="3">
        <f t="shared" si="30"/>
        <v>2.7211878760500006</v>
      </c>
      <c r="AK25" s="23">
        <f t="shared" si="40"/>
        <v>0.13605939380250004</v>
      </c>
      <c r="AL25" s="3">
        <f t="shared" si="32"/>
        <v>12.884299701035335</v>
      </c>
      <c r="AM25" s="3">
        <f t="shared" si="33"/>
        <v>3.1293660574575006</v>
      </c>
      <c r="AN25" s="23">
        <f t="shared" si="41"/>
        <v>0.15646830287287505</v>
      </c>
    </row>
    <row r="26" spans="3:47" ht="15.6" thickTop="1" thickBot="1" x14ac:dyDescent="0.35">
      <c r="C26" s="20" t="s">
        <v>125</v>
      </c>
      <c r="D26" s="2">
        <v>1</v>
      </c>
      <c r="E26" s="3">
        <f>D26*8%</f>
        <v>0.08</v>
      </c>
      <c r="F26" s="2"/>
      <c r="G26" s="23">
        <f t="shared" si="14"/>
        <v>4.0000000000000001E-3</v>
      </c>
      <c r="H26" s="2"/>
      <c r="I26" s="3">
        <f t="shared" ref="I26" si="46">E26-G26</f>
        <v>7.5999999999999998E-2</v>
      </c>
      <c r="M26" s="20" t="s">
        <v>125</v>
      </c>
      <c r="N26" s="3">
        <f>D26+105%*D26</f>
        <v>2.0499999999999998</v>
      </c>
      <c r="O26" s="3">
        <f>E26+110%*E26</f>
        <v>0.16800000000000001</v>
      </c>
      <c r="P26" s="23">
        <f t="shared" si="16"/>
        <v>8.4000000000000012E-3</v>
      </c>
      <c r="Q26" s="3">
        <f>N26+105%*N26</f>
        <v>4.2024999999999997</v>
      </c>
      <c r="R26" s="3">
        <f>O26+110%*O26</f>
        <v>0.3528</v>
      </c>
      <c r="S26" s="23">
        <f t="shared" si="17"/>
        <v>1.7639999999999999E-2</v>
      </c>
      <c r="T26" s="3">
        <f>Q26+105%*Q26</f>
        <v>8.615124999999999</v>
      </c>
      <c r="U26" s="3">
        <f>R26+110%*R26</f>
        <v>0.74087999999999998</v>
      </c>
      <c r="V26" s="23">
        <f t="shared" si="18"/>
        <v>3.7044000000000001E-2</v>
      </c>
      <c r="W26" s="69">
        <f>T26+105%*T26</f>
        <v>17.66100625</v>
      </c>
      <c r="X26" s="69">
        <f>U26+110%*U26</f>
        <v>1.5558480000000001</v>
      </c>
      <c r="Y26" s="23">
        <f t="shared" ref="Y26" si="47">X26*5%</f>
        <v>7.7792400000000012E-2</v>
      </c>
      <c r="Z26" s="3">
        <f t="shared" si="20"/>
        <v>19.427106875</v>
      </c>
      <c r="AA26" s="3">
        <f t="shared" si="21"/>
        <v>1.7892252000000002</v>
      </c>
      <c r="AB26" s="23">
        <f t="shared" ref="AB26" si="48">AA26*5%</f>
        <v>8.9461260000000015E-2</v>
      </c>
      <c r="AC26" s="3">
        <f t="shared" si="23"/>
        <v>21.3698175625</v>
      </c>
      <c r="AD26" s="3">
        <f t="shared" si="24"/>
        <v>2.0576089800000004</v>
      </c>
      <c r="AE26" s="23">
        <f t="shared" ref="AE26" si="49">AD26*5%</f>
        <v>0.10288044900000003</v>
      </c>
      <c r="AF26" s="3">
        <f t="shared" si="26"/>
        <v>23.506799318749998</v>
      </c>
      <c r="AG26" s="3">
        <f t="shared" si="27"/>
        <v>2.3662503270000004</v>
      </c>
      <c r="AH26" s="23">
        <f t="shared" ref="AH26" si="50">AG26*5%</f>
        <v>0.11831251635000002</v>
      </c>
      <c r="AI26" s="3">
        <f t="shared" si="29"/>
        <v>25.857479250624998</v>
      </c>
      <c r="AJ26" s="3">
        <f t="shared" si="30"/>
        <v>2.7211878760500006</v>
      </c>
      <c r="AK26" s="23">
        <f t="shared" ref="AK26" si="51">AJ26*5%</f>
        <v>0.13605939380250004</v>
      </c>
      <c r="AL26" s="3">
        <f t="shared" si="32"/>
        <v>28.443227175687497</v>
      </c>
      <c r="AM26" s="3">
        <f t="shared" si="33"/>
        <v>3.1293660574575006</v>
      </c>
      <c r="AN26" s="23">
        <f t="shared" ref="AN26" si="52">AM26*5%</f>
        <v>0.15646830287287505</v>
      </c>
    </row>
    <row r="27" spans="3:47" ht="15.6" thickTop="1" thickBot="1" x14ac:dyDescent="0.35">
      <c r="C27" s="20" t="s">
        <v>122</v>
      </c>
      <c r="D27" s="2">
        <v>1</v>
      </c>
      <c r="E27" s="3">
        <f>D27*8%</f>
        <v>0.08</v>
      </c>
      <c r="F27" s="2"/>
      <c r="G27" s="23">
        <f t="shared" si="14"/>
        <v>4.0000000000000001E-3</v>
      </c>
      <c r="H27" s="2"/>
      <c r="I27" s="3">
        <f t="shared" ref="I27:I28" si="53">E27-G27</f>
        <v>7.5999999999999998E-2</v>
      </c>
      <c r="M27" s="20" t="s">
        <v>122</v>
      </c>
      <c r="N27" s="3">
        <f>D27+116.57%*D27</f>
        <v>2.1657000000000002</v>
      </c>
      <c r="O27" s="3">
        <f>E27+141%*E27</f>
        <v>0.1928</v>
      </c>
      <c r="P27" s="23">
        <f t="shared" si="16"/>
        <v>9.640000000000001E-3</v>
      </c>
      <c r="Q27" s="3">
        <f>N27+116.57%*N27</f>
        <v>4.6902564900000003</v>
      </c>
      <c r="R27" s="3">
        <f>O27+141%*O27</f>
        <v>0.46464799999999995</v>
      </c>
      <c r="S27" s="23">
        <f t="shared" si="17"/>
        <v>2.32324E-2</v>
      </c>
      <c r="T27" s="3">
        <f>Q27+116.57%*Q27</f>
        <v>10.157688480393</v>
      </c>
      <c r="U27" s="3">
        <f>R27+141%*R27</f>
        <v>1.1198016799999997</v>
      </c>
      <c r="V27" s="23">
        <f t="shared" si="18"/>
        <v>5.5990083999999989E-2</v>
      </c>
      <c r="W27" s="69">
        <f>T27+116.57%*T27</f>
        <v>21.998505941987119</v>
      </c>
      <c r="X27" s="69">
        <f>U27+141%*U27</f>
        <v>2.6987220487999992</v>
      </c>
      <c r="Y27" s="23">
        <f t="shared" ref="Y27:Y28" si="54">X27*5%</f>
        <v>0.13493610243999996</v>
      </c>
      <c r="Z27" s="3">
        <f t="shared" si="20"/>
        <v>24.19835653618583</v>
      </c>
      <c r="AA27" s="3">
        <f t="shared" si="21"/>
        <v>3.1035303561199989</v>
      </c>
      <c r="AB27" s="23">
        <f t="shared" ref="AB27:AB28" si="55">AA27*5%</f>
        <v>0.15517651780599995</v>
      </c>
      <c r="AC27" s="3">
        <f t="shared" si="23"/>
        <v>26.618192189804414</v>
      </c>
      <c r="AD27" s="3">
        <f t="shared" si="24"/>
        <v>3.5690599095379989</v>
      </c>
      <c r="AE27" s="23">
        <f t="shared" ref="AE27:AE28" si="56">AD27*5%</f>
        <v>0.17845299547689997</v>
      </c>
      <c r="AF27" s="3">
        <f t="shared" si="26"/>
        <v>29.280011408784855</v>
      </c>
      <c r="AG27" s="3">
        <f t="shared" si="27"/>
        <v>4.1044188959686991</v>
      </c>
      <c r="AH27" s="23">
        <f t="shared" ref="AH27:AH28" si="57">AG27*5%</f>
        <v>0.20522094479843497</v>
      </c>
      <c r="AI27" s="3">
        <f t="shared" si="29"/>
        <v>32.208012549663337</v>
      </c>
      <c r="AJ27" s="3">
        <f t="shared" si="30"/>
        <v>4.7200817303640044</v>
      </c>
      <c r="AK27" s="23">
        <f t="shared" ref="AK27:AK28" si="58">AJ27*5%</f>
        <v>0.23600408651820023</v>
      </c>
      <c r="AL27" s="3">
        <f t="shared" si="32"/>
        <v>35.428813804629669</v>
      </c>
      <c r="AM27" s="3">
        <f t="shared" si="33"/>
        <v>5.4280939899186054</v>
      </c>
      <c r="AN27" s="23">
        <f t="shared" ref="AN27:AN28" si="59">AM27*5%</f>
        <v>0.27140469949593027</v>
      </c>
    </row>
    <row r="28" spans="3:47" ht="15.6" thickTop="1" thickBot="1" x14ac:dyDescent="0.35">
      <c r="C28" s="20" t="s">
        <v>123</v>
      </c>
      <c r="D28" s="2">
        <v>1</v>
      </c>
      <c r="E28" s="3">
        <f>D28*9%</f>
        <v>0.09</v>
      </c>
      <c r="F28" s="2"/>
      <c r="G28" s="23">
        <f t="shared" si="14"/>
        <v>4.4999999999999997E-3</v>
      </c>
      <c r="H28" s="2"/>
      <c r="I28" s="3">
        <f t="shared" si="53"/>
        <v>8.5499999999999993E-2</v>
      </c>
      <c r="M28" s="20" t="s">
        <v>123</v>
      </c>
      <c r="N28" s="3">
        <f>D28+227%*D28</f>
        <v>3.27</v>
      </c>
      <c r="O28" s="3">
        <f>E28+200%*E28</f>
        <v>0.27</v>
      </c>
      <c r="P28" s="23">
        <f t="shared" si="16"/>
        <v>1.3500000000000002E-2</v>
      </c>
      <c r="Q28" s="3">
        <f>N28+227%*N28</f>
        <v>10.6929</v>
      </c>
      <c r="R28" s="3">
        <f>O28+200%*O28</f>
        <v>0.81</v>
      </c>
      <c r="S28" s="23">
        <f t="shared" si="17"/>
        <v>4.0500000000000008E-2</v>
      </c>
      <c r="T28" s="3">
        <f>Q28+227%*Q28</f>
        <v>34.965783000000002</v>
      </c>
      <c r="U28" s="3">
        <f>R28+200%*R28</f>
        <v>2.4300000000000002</v>
      </c>
      <c r="V28" s="23">
        <f t="shared" si="18"/>
        <v>0.12150000000000001</v>
      </c>
      <c r="W28" s="69">
        <f>T28+227%*T28</f>
        <v>114.33811041000001</v>
      </c>
      <c r="X28" s="69">
        <f>U28+200%*U28</f>
        <v>7.2900000000000009</v>
      </c>
      <c r="Y28" s="23">
        <f t="shared" si="54"/>
        <v>0.36450000000000005</v>
      </c>
      <c r="Z28" s="3">
        <f t="shared" si="20"/>
        <v>125.77192145100001</v>
      </c>
      <c r="AA28" s="3">
        <f t="shared" si="21"/>
        <v>8.3835000000000015</v>
      </c>
      <c r="AB28" s="23">
        <f t="shared" si="55"/>
        <v>0.41917500000000008</v>
      </c>
      <c r="AC28" s="3">
        <f t="shared" si="23"/>
        <v>138.34911359610001</v>
      </c>
      <c r="AD28" s="3">
        <f t="shared" si="24"/>
        <v>9.6410250000000026</v>
      </c>
      <c r="AE28" s="23">
        <f t="shared" si="56"/>
        <v>0.48205125000000015</v>
      </c>
      <c r="AF28" s="3">
        <f t="shared" si="26"/>
        <v>152.18402495571002</v>
      </c>
      <c r="AG28" s="3">
        <f t="shared" si="27"/>
        <v>11.087178750000003</v>
      </c>
      <c r="AH28" s="23">
        <f t="shared" si="57"/>
        <v>0.5543589375000002</v>
      </c>
      <c r="AI28" s="3">
        <f t="shared" si="29"/>
        <v>167.40242745128103</v>
      </c>
      <c r="AJ28" s="3">
        <f t="shared" si="30"/>
        <v>12.750255562500003</v>
      </c>
      <c r="AK28" s="23">
        <f t="shared" si="58"/>
        <v>0.63751277812500018</v>
      </c>
      <c r="AL28" s="3">
        <f t="shared" si="32"/>
        <v>184.14267019640914</v>
      </c>
      <c r="AM28" s="3">
        <f t="shared" si="33"/>
        <v>14.662793896875003</v>
      </c>
      <c r="AN28" s="23">
        <f t="shared" si="59"/>
        <v>0.73313969484375019</v>
      </c>
    </row>
    <row r="29" spans="3:47" s="7" customFormat="1" ht="16.8" thickTop="1" thickBot="1" x14ac:dyDescent="0.35">
      <c r="C29" s="10" t="s">
        <v>27</v>
      </c>
      <c r="D29" s="10">
        <f>SUM(D7:D28)</f>
        <v>403.79806450400002</v>
      </c>
      <c r="E29" s="10">
        <f>SUM(E7:E28)</f>
        <v>110.40161290079999</v>
      </c>
      <c r="F29" s="10">
        <f t="shared" ref="F29:I29" si="60">SUM(F7:F28)</f>
        <v>0</v>
      </c>
      <c r="G29" s="10">
        <f t="shared" si="60"/>
        <v>3.2030806450399996</v>
      </c>
      <c r="H29" s="10">
        <f t="shared" si="60"/>
        <v>0</v>
      </c>
      <c r="I29" s="10">
        <f t="shared" si="60"/>
        <v>107.11853225575996</v>
      </c>
      <c r="M29" s="10" t="s">
        <v>27</v>
      </c>
      <c r="N29" s="10">
        <f>SUM(N7:N28)</f>
        <v>502.39791649488006</v>
      </c>
      <c r="O29" s="10">
        <f>SUM(O7:O28)</f>
        <v>130.73215379897607</v>
      </c>
      <c r="P29" s="10">
        <f t="shared" ref="P29:AN29" si="61">SUM(P7:P28)</f>
        <v>4.1435176899488004</v>
      </c>
      <c r="Q29" s="10">
        <f t="shared" si="61"/>
        <v>637.35907144322027</v>
      </c>
      <c r="R29" s="10">
        <f t="shared" si="61"/>
        <v>155.21923993909405</v>
      </c>
      <c r="S29" s="10">
        <f t="shared" si="61"/>
        <v>5.7755741465873118</v>
      </c>
      <c r="T29" s="10">
        <f t="shared" si="61"/>
        <v>845.68297294691206</v>
      </c>
      <c r="U29" s="10">
        <f t="shared" si="61"/>
        <v>186.495693021807</v>
      </c>
      <c r="V29" s="10">
        <f t="shared" si="61"/>
        <v>7.0569061920903504</v>
      </c>
      <c r="W29" s="10">
        <f t="shared" si="61"/>
        <v>1277.8121340015409</v>
      </c>
      <c r="X29" s="10">
        <f t="shared" si="61"/>
        <v>242.61200661846138</v>
      </c>
      <c r="Y29" s="10">
        <f t="shared" si="61"/>
        <v>9.8816540016530698</v>
      </c>
      <c r="Z29" s="10">
        <f t="shared" si="61"/>
        <v>1420.1918415884852</v>
      </c>
      <c r="AA29" s="10">
        <f t="shared" si="61"/>
        <v>272.41054517209795</v>
      </c>
      <c r="AB29" s="10">
        <f t="shared" si="61"/>
        <v>11.732320175532891</v>
      </c>
      <c r="AC29" s="10">
        <f t="shared" si="61"/>
        <v>1579.1429101658175</v>
      </c>
      <c r="AD29" s="10">
        <f t="shared" si="61"/>
        <v>328.16279763344261</v>
      </c>
      <c r="AE29" s="10">
        <f t="shared" si="61"/>
        <v>13.652817757832123</v>
      </c>
      <c r="AF29" s="10">
        <f t="shared" si="61"/>
        <v>1751.1310943211529</v>
      </c>
      <c r="AG29" s="10">
        <f t="shared" si="61"/>
        <v>395.28561110002312</v>
      </c>
      <c r="AH29" s="10">
        <f t="shared" si="61"/>
        <v>15.66466509707616</v>
      </c>
      <c r="AI29" s="10">
        <f t="shared" si="61"/>
        <v>1948.8072643124376</v>
      </c>
      <c r="AJ29" s="10">
        <f t="shared" si="61"/>
        <v>478.67632001542177</v>
      </c>
      <c r="AK29" s="10">
        <f t="shared" si="61"/>
        <v>17.880761333521086</v>
      </c>
      <c r="AL29" s="10">
        <f t="shared" si="61"/>
        <v>2170.7264706388582</v>
      </c>
      <c r="AM29" s="10">
        <f t="shared" si="61"/>
        <v>538.21420174107595</v>
      </c>
      <c r="AN29" s="10">
        <f t="shared" si="61"/>
        <v>21.07928041210614</v>
      </c>
    </row>
    <row r="30" spans="3:47" ht="15.6" thickTop="1" thickBot="1" x14ac:dyDescent="0.35">
      <c r="C30" s="2"/>
      <c r="D30" s="2"/>
      <c r="E30" s="2"/>
      <c r="F30" s="2"/>
      <c r="G30" s="2"/>
      <c r="H30" s="2"/>
      <c r="I30" s="2"/>
      <c r="Q30" s="7"/>
      <c r="R30" s="7"/>
      <c r="S30" s="7"/>
      <c r="T30" s="7"/>
      <c r="U30" s="7"/>
      <c r="W30" s="7"/>
      <c r="X30" s="7"/>
    </row>
    <row r="31" spans="3:47" ht="22.5" customHeight="1" thickTop="1" thickBot="1" x14ac:dyDescent="0.4">
      <c r="C31" s="78" t="s">
        <v>154</v>
      </c>
      <c r="D31" s="79"/>
      <c r="E31" s="79"/>
      <c r="F31" s="79"/>
      <c r="G31" s="79"/>
      <c r="H31" s="79"/>
      <c r="I31" s="79"/>
      <c r="M31" s="6" t="s">
        <v>28</v>
      </c>
      <c r="N31" s="103" t="s">
        <v>1</v>
      </c>
      <c r="O31" s="102"/>
      <c r="P31" s="102"/>
      <c r="Q31" s="102" t="s">
        <v>2</v>
      </c>
      <c r="R31" s="102"/>
      <c r="S31" s="102"/>
      <c r="T31" s="102" t="s">
        <v>3</v>
      </c>
      <c r="U31" s="102"/>
      <c r="V31" s="102"/>
      <c r="W31" s="102" t="s">
        <v>0</v>
      </c>
      <c r="X31" s="102"/>
      <c r="Y31" s="102"/>
      <c r="Z31" s="102" t="s">
        <v>4</v>
      </c>
      <c r="AA31" s="102"/>
      <c r="AB31" s="102"/>
      <c r="AC31" s="102" t="s">
        <v>5</v>
      </c>
      <c r="AD31" s="102"/>
      <c r="AE31" s="102"/>
      <c r="AF31" s="102" t="s">
        <v>6</v>
      </c>
      <c r="AG31" s="102"/>
      <c r="AH31" s="102"/>
      <c r="AI31" s="102" t="s">
        <v>7</v>
      </c>
      <c r="AJ31" s="102"/>
      <c r="AK31" s="102"/>
      <c r="AL31" s="102" t="s">
        <v>8</v>
      </c>
      <c r="AM31" s="102"/>
      <c r="AN31" s="102"/>
    </row>
    <row r="32" spans="3:47" s="1" customFormat="1" ht="19.2" thickTop="1" thickBot="1" x14ac:dyDescent="0.4">
      <c r="C32" s="13" t="s">
        <v>29</v>
      </c>
      <c r="M32" s="17" t="s">
        <v>26</v>
      </c>
      <c r="N32" s="18" t="s">
        <v>10</v>
      </c>
      <c r="O32" s="16" t="s">
        <v>11</v>
      </c>
      <c r="P32" s="16" t="s">
        <v>20</v>
      </c>
      <c r="Q32" s="16" t="s">
        <v>10</v>
      </c>
      <c r="R32" s="16" t="s">
        <v>11</v>
      </c>
      <c r="S32" s="16" t="s">
        <v>20</v>
      </c>
      <c r="T32" s="16" t="s">
        <v>10</v>
      </c>
      <c r="U32" s="16" t="s">
        <v>11</v>
      </c>
      <c r="V32" s="16" t="s">
        <v>20</v>
      </c>
      <c r="W32" s="16" t="s">
        <v>10</v>
      </c>
      <c r="X32" s="16" t="s">
        <v>11</v>
      </c>
      <c r="Y32" s="16" t="s">
        <v>20</v>
      </c>
      <c r="Z32" s="16" t="s">
        <v>10</v>
      </c>
      <c r="AA32" s="16" t="s">
        <v>11</v>
      </c>
      <c r="AB32" s="16" t="s">
        <v>20</v>
      </c>
      <c r="AC32" s="16" t="s">
        <v>10</v>
      </c>
      <c r="AD32" s="16" t="s">
        <v>11</v>
      </c>
      <c r="AE32" s="16" t="s">
        <v>20</v>
      </c>
      <c r="AF32" s="16" t="s">
        <v>10</v>
      </c>
      <c r="AG32" s="16" t="s">
        <v>11</v>
      </c>
      <c r="AH32" s="16" t="s">
        <v>20</v>
      </c>
      <c r="AI32" s="16" t="s">
        <v>10</v>
      </c>
      <c r="AJ32" s="16" t="s">
        <v>11</v>
      </c>
      <c r="AK32" s="16" t="s">
        <v>20</v>
      </c>
      <c r="AL32" s="16" t="s">
        <v>10</v>
      </c>
      <c r="AM32" s="16" t="s">
        <v>11</v>
      </c>
      <c r="AN32" s="16" t="s">
        <v>20</v>
      </c>
    </row>
    <row r="33" spans="1:40" ht="15.6" thickTop="1" thickBot="1" x14ac:dyDescent="0.35">
      <c r="C33" s="4" t="s">
        <v>152</v>
      </c>
      <c r="D33" s="4" t="s">
        <v>30</v>
      </c>
      <c r="E33" s="4" t="s">
        <v>31</v>
      </c>
      <c r="F33" s="2"/>
      <c r="G33" s="4" t="s">
        <v>19</v>
      </c>
      <c r="H33" s="4"/>
      <c r="I33" s="4" t="s">
        <v>20</v>
      </c>
      <c r="J33" s="4"/>
      <c r="K33" s="4" t="s">
        <v>32</v>
      </c>
      <c r="M33" s="2" t="s">
        <v>22</v>
      </c>
      <c r="N33" s="2">
        <f>E35+12%*E35</f>
        <v>5600000</v>
      </c>
      <c r="O33" s="2">
        <f>G35+12%*G35</f>
        <v>1489600</v>
      </c>
      <c r="P33" s="2">
        <f>I35+20%*I35</f>
        <v>120000</v>
      </c>
      <c r="Q33" s="2">
        <f t="shared" ref="Q33:R34" si="62">N33+12%*N33</f>
        <v>6272000</v>
      </c>
      <c r="R33" s="2">
        <f t="shared" si="62"/>
        <v>1668352</v>
      </c>
      <c r="S33" s="2">
        <f>P33+20%*P33</f>
        <v>144000</v>
      </c>
      <c r="T33" s="2">
        <f t="shared" ref="T33:U34" si="63">Q33+12%*Q33</f>
        <v>7024640</v>
      </c>
      <c r="U33" s="2">
        <f t="shared" si="63"/>
        <v>1868554.24</v>
      </c>
      <c r="V33" s="2">
        <f>S33+20%*S33</f>
        <v>172800</v>
      </c>
      <c r="W33" s="11">
        <f t="shared" ref="W33:X34" si="64">T33+12%*T33</f>
        <v>7867596.7999999998</v>
      </c>
      <c r="X33" s="2">
        <f t="shared" si="64"/>
        <v>2092780.7487999999</v>
      </c>
      <c r="Y33" s="2">
        <f>V33+20%*V33</f>
        <v>207360</v>
      </c>
      <c r="Z33" s="11">
        <f>W33+10%*W33</f>
        <v>8654356.4800000004</v>
      </c>
      <c r="AA33" s="2">
        <f>X33+10%*X33</f>
        <v>2302058.8236799999</v>
      </c>
      <c r="AB33" s="2">
        <f>Y33+15%*Y33</f>
        <v>238464</v>
      </c>
      <c r="AC33" s="11">
        <f>Z33+10%*Z33</f>
        <v>9519792.1280000005</v>
      </c>
      <c r="AD33" s="2">
        <f>AA33+10%*AA33</f>
        <v>2532264.7060479997</v>
      </c>
      <c r="AE33" s="2">
        <f>AB33+15%*AB33</f>
        <v>274233.59999999998</v>
      </c>
      <c r="AF33" s="11">
        <f>AC33+10%*AC33</f>
        <v>10471771.3408</v>
      </c>
      <c r="AG33" s="2">
        <f>AD33+10%*AD33</f>
        <v>2785491.1766527998</v>
      </c>
      <c r="AH33" s="2">
        <f>AE33+15%*AE33</f>
        <v>315368.63999999996</v>
      </c>
      <c r="AI33" s="11">
        <f>AF33+10%*AF33</f>
        <v>11518948.474880001</v>
      </c>
      <c r="AJ33" s="2">
        <f>AG33+10%*AG33</f>
        <v>3064040.2943180799</v>
      </c>
      <c r="AK33" s="2">
        <f>AH33+15%*AH33</f>
        <v>362673.93599999993</v>
      </c>
      <c r="AL33" s="11">
        <f>AI33+10%*AI33</f>
        <v>12670843.322368</v>
      </c>
      <c r="AM33" s="2">
        <f>AJ33+10%*AJ33</f>
        <v>3370444.3237498878</v>
      </c>
      <c r="AN33" s="2">
        <f>AK33+15%*AK33</f>
        <v>417075.02639999992</v>
      </c>
    </row>
    <row r="34" spans="1:40" ht="15.6" thickTop="1" thickBot="1" x14ac:dyDescent="0.35">
      <c r="C34" s="2"/>
      <c r="D34" s="2"/>
      <c r="E34" s="2"/>
      <c r="F34" s="2"/>
      <c r="G34" s="2"/>
      <c r="H34" s="2"/>
      <c r="I34" s="2"/>
      <c r="J34" s="2"/>
      <c r="K34" s="2"/>
      <c r="M34" s="2" t="s">
        <v>23</v>
      </c>
      <c r="N34" s="2">
        <f>E36+12%*E36</f>
        <v>1120000</v>
      </c>
      <c r="O34" s="2">
        <f>G36+12%*G36</f>
        <v>324800</v>
      </c>
      <c r="P34" s="2">
        <f>I36+20%*I36</f>
        <v>60000</v>
      </c>
      <c r="Q34" s="2">
        <f t="shared" si="62"/>
        <v>1254400</v>
      </c>
      <c r="R34" s="2">
        <f t="shared" si="62"/>
        <v>363776</v>
      </c>
      <c r="S34" s="2">
        <f>P34+20%*P34</f>
        <v>72000</v>
      </c>
      <c r="T34" s="2">
        <f t="shared" si="63"/>
        <v>1404928</v>
      </c>
      <c r="U34" s="2">
        <f t="shared" si="63"/>
        <v>407429.12</v>
      </c>
      <c r="V34" s="2">
        <f>S34+20%*S34</f>
        <v>86400</v>
      </c>
      <c r="W34" s="11">
        <f t="shared" si="64"/>
        <v>1573519.3599999999</v>
      </c>
      <c r="X34" s="2">
        <f t="shared" si="64"/>
        <v>456320.61439999996</v>
      </c>
      <c r="Y34" s="2">
        <f>V34+20%*V34</f>
        <v>103680</v>
      </c>
      <c r="Z34" s="11">
        <f>W34+10%*W34</f>
        <v>1730871.2959999999</v>
      </c>
      <c r="AA34" s="2">
        <f>X34+10%*X34</f>
        <v>501952.67583999998</v>
      </c>
      <c r="AB34" s="2">
        <f>Y34+15%*Y34</f>
        <v>119232</v>
      </c>
      <c r="AC34" s="11">
        <f>Z34+10%*Z34</f>
        <v>1903958.4255999997</v>
      </c>
      <c r="AD34" s="2">
        <f>AA34+10%*AA34</f>
        <v>552147.94342399994</v>
      </c>
      <c r="AE34" s="2">
        <f>AB34+15%*AB34</f>
        <v>137116.79999999999</v>
      </c>
      <c r="AF34" s="11">
        <f>AC34+10%*AC34</f>
        <v>2094354.2681599997</v>
      </c>
      <c r="AG34" s="2">
        <f>AD34+10%*AD34</f>
        <v>607362.73776639998</v>
      </c>
      <c r="AH34" s="2">
        <f>AE34+15%*AE34</f>
        <v>157684.31999999998</v>
      </c>
      <c r="AI34" s="11">
        <f>AF34+10%*AF34</f>
        <v>2303789.6949759996</v>
      </c>
      <c r="AJ34" s="2">
        <f>AG34+10%*AG34</f>
        <v>668099.01154303993</v>
      </c>
      <c r="AK34" s="2">
        <f>AH34+15%*AH34</f>
        <v>181336.96799999996</v>
      </c>
      <c r="AL34" s="11">
        <f>AI34+10%*AI34</f>
        <v>2534168.6644735998</v>
      </c>
      <c r="AM34" s="2">
        <f>AJ34+10%*AJ34</f>
        <v>734908.91269734397</v>
      </c>
      <c r="AN34" s="2">
        <f>AK34+15%*AK34</f>
        <v>208537.51319999996</v>
      </c>
    </row>
    <row r="35" spans="1:40" ht="15.6" thickTop="1" thickBot="1" x14ac:dyDescent="0.35">
      <c r="C35" s="2" t="s">
        <v>13</v>
      </c>
      <c r="D35" s="2">
        <v>5</v>
      </c>
      <c r="E35" s="2">
        <v>5000000</v>
      </c>
      <c r="F35" s="2"/>
      <c r="G35" s="2">
        <v>1330000</v>
      </c>
      <c r="H35" s="2"/>
      <c r="I35" s="2">
        <v>100000</v>
      </c>
      <c r="J35" s="2"/>
      <c r="K35" s="2">
        <f>G35-I35</f>
        <v>1230000</v>
      </c>
      <c r="M35" s="2" t="s">
        <v>9</v>
      </c>
      <c r="N35" s="2">
        <f>E37+15%*E37</f>
        <v>805000</v>
      </c>
      <c r="O35" s="2">
        <f>G37+15%*G37</f>
        <v>161000</v>
      </c>
      <c r="P35" s="2">
        <f>I37+20%*I37</f>
        <v>72000</v>
      </c>
      <c r="Q35" s="2">
        <f>N35+15%*N35</f>
        <v>925750</v>
      </c>
      <c r="R35" s="2">
        <f>O35+15%*O35</f>
        <v>185150</v>
      </c>
      <c r="S35" s="2">
        <f>P35+20%*P35</f>
        <v>86400</v>
      </c>
      <c r="T35" s="2">
        <f>Q35+15%*Q35</f>
        <v>1064612.5</v>
      </c>
      <c r="U35" s="2">
        <f>R35+15%*R35</f>
        <v>212922.5</v>
      </c>
      <c r="V35" s="2">
        <f>S35+20%*S35</f>
        <v>103680</v>
      </c>
      <c r="W35" s="11">
        <f>T35+15%*T35</f>
        <v>1224304.375</v>
      </c>
      <c r="X35" s="2">
        <f>U35+15%*U35</f>
        <v>244860.875</v>
      </c>
      <c r="Y35" s="2">
        <f>V35+20%*V35</f>
        <v>124416</v>
      </c>
      <c r="Z35" s="11">
        <f>W35+12%*W35</f>
        <v>1371220.9</v>
      </c>
      <c r="AA35" s="2">
        <f>X35+12%*X35</f>
        <v>274244.18</v>
      </c>
      <c r="AB35" s="2">
        <f>Y35+15%*Y35</f>
        <v>143078.39999999999</v>
      </c>
      <c r="AC35" s="11">
        <f>Z35+12%*Z35</f>
        <v>1535767.4079999998</v>
      </c>
      <c r="AD35" s="2">
        <f>AA35+12%*AA35</f>
        <v>307153.4816</v>
      </c>
      <c r="AE35" s="2">
        <f>AB35+15%*AB35</f>
        <v>164540.16</v>
      </c>
      <c r="AF35" s="11">
        <f>AC35+12%*AC35</f>
        <v>1720059.4969599997</v>
      </c>
      <c r="AG35" s="2">
        <f>AD35+12%*AD35</f>
        <v>344011.89939199999</v>
      </c>
      <c r="AH35" s="2">
        <f>AE35+15%*AE35</f>
        <v>189221.18400000001</v>
      </c>
      <c r="AI35" s="11">
        <f>AF35+12%*AF35</f>
        <v>1926466.6365951996</v>
      </c>
      <c r="AJ35" s="2">
        <f>AG35+12%*AG35</f>
        <v>385293.32731903996</v>
      </c>
      <c r="AK35" s="2">
        <f>AH35+15%*AH35</f>
        <v>217604.3616</v>
      </c>
      <c r="AL35" s="11">
        <f>AI35+12%*AI35</f>
        <v>2157642.6329866233</v>
      </c>
      <c r="AM35" s="2">
        <f>AJ35+12%*AJ35</f>
        <v>431528.52659732476</v>
      </c>
      <c r="AN35" s="2">
        <f>AK35+15%*AK35</f>
        <v>250245.01584000001</v>
      </c>
    </row>
    <row r="36" spans="1:40" ht="15.6" thickTop="1" thickBot="1" x14ac:dyDescent="0.35">
      <c r="C36" s="2" t="s">
        <v>14</v>
      </c>
      <c r="D36" s="2">
        <v>1</v>
      </c>
      <c r="E36" s="2">
        <v>1000000</v>
      </c>
      <c r="F36" s="2"/>
      <c r="G36" s="2">
        <v>290000</v>
      </c>
      <c r="H36" s="2"/>
      <c r="I36" s="2">
        <v>50000</v>
      </c>
      <c r="J36" s="2"/>
      <c r="K36" s="2">
        <f>G36-I36</f>
        <v>240000</v>
      </c>
      <c r="M36" s="2" t="s">
        <v>24</v>
      </c>
      <c r="N36" s="2">
        <f>E38+30%*E38</f>
        <v>1950000</v>
      </c>
      <c r="O36" s="2">
        <f>G38+30%*G38</f>
        <v>546000</v>
      </c>
      <c r="P36" s="2">
        <f>I38+20%*I38</f>
        <v>120000</v>
      </c>
      <c r="Q36" s="2">
        <f>N36+40%*N36</f>
        <v>2730000</v>
      </c>
      <c r="R36" s="2">
        <f>O36+40%*O36</f>
        <v>764400</v>
      </c>
      <c r="S36" s="2">
        <f>P36+20%*P36</f>
        <v>144000</v>
      </c>
      <c r="T36" s="2">
        <f>Q36+40%*Q36</f>
        <v>3822000</v>
      </c>
      <c r="U36" s="2">
        <f>R36+40%*R36</f>
        <v>1070160</v>
      </c>
      <c r="V36" s="2">
        <f>S36+20%*S36</f>
        <v>172800</v>
      </c>
      <c r="W36" s="11">
        <f>T36+40%*T36</f>
        <v>5350800</v>
      </c>
      <c r="X36" s="2">
        <f>U36+40%*U36</f>
        <v>1498224</v>
      </c>
      <c r="Y36" s="2">
        <f>V36+20%*V36</f>
        <v>207360</v>
      </c>
      <c r="Z36" s="11">
        <f>W36+25%*W36</f>
        <v>6688500</v>
      </c>
      <c r="AA36" s="2">
        <f>X36+25%*X36</f>
        <v>1872780</v>
      </c>
      <c r="AB36" s="2">
        <f>Y36+15%*Y36</f>
        <v>238464</v>
      </c>
      <c r="AC36" s="11">
        <f>Z36+25%*Z36</f>
        <v>8360625</v>
      </c>
      <c r="AD36" s="2">
        <f>AA36+25%*AA36</f>
        <v>2340975</v>
      </c>
      <c r="AE36" s="2">
        <f>AB36+15%*AB36</f>
        <v>274233.59999999998</v>
      </c>
      <c r="AF36" s="11">
        <f>AC36+25%*AC36</f>
        <v>10450781.25</v>
      </c>
      <c r="AG36" s="2">
        <f>AD36+25%*AD36</f>
        <v>2926218.75</v>
      </c>
      <c r="AH36" s="2">
        <f>AE36+15%*AE36</f>
        <v>315368.63999999996</v>
      </c>
      <c r="AI36" s="11">
        <f>AF36+25%*AF36</f>
        <v>13063476.5625</v>
      </c>
      <c r="AJ36" s="2">
        <f>AG36+25%*AG36</f>
        <v>3657773.4375</v>
      </c>
      <c r="AK36" s="2">
        <f>AH36+15%*AH36</f>
        <v>362673.93599999993</v>
      </c>
      <c r="AL36" s="11">
        <f>AI36+25%*AI36</f>
        <v>16329345.703125</v>
      </c>
      <c r="AM36" s="2">
        <f>AJ36+25%*AJ36</f>
        <v>4572216.796875</v>
      </c>
      <c r="AN36" s="2">
        <f>AK36+15%*AK36</f>
        <v>417075.02639999992</v>
      </c>
    </row>
    <row r="37" spans="1:40" ht="16.8" thickTop="1" thickBot="1" x14ac:dyDescent="0.35">
      <c r="C37" s="2" t="s">
        <v>15</v>
      </c>
      <c r="D37" s="2">
        <v>0.7</v>
      </c>
      <c r="E37" s="2">
        <v>700000</v>
      </c>
      <c r="F37" s="2"/>
      <c r="G37" s="2">
        <f>E37*20%</f>
        <v>140000</v>
      </c>
      <c r="H37" s="2"/>
      <c r="I37" s="2">
        <v>60000</v>
      </c>
      <c r="J37" s="2"/>
      <c r="K37" s="2">
        <f>G37-I37</f>
        <v>80000</v>
      </c>
      <c r="M37" s="9" t="s">
        <v>27</v>
      </c>
      <c r="N37" s="9">
        <f t="shared" ref="N37:Y37" si="65">SUM(N33:N36)</f>
        <v>9475000</v>
      </c>
      <c r="O37" s="9">
        <f t="shared" si="65"/>
        <v>2521400</v>
      </c>
      <c r="P37" s="9">
        <f t="shared" si="65"/>
        <v>372000</v>
      </c>
      <c r="Q37" s="9">
        <f t="shared" si="65"/>
        <v>11182150</v>
      </c>
      <c r="R37" s="9">
        <f t="shared" si="65"/>
        <v>2981678</v>
      </c>
      <c r="S37" s="9">
        <f t="shared" si="65"/>
        <v>446400</v>
      </c>
      <c r="T37" s="9">
        <f t="shared" si="65"/>
        <v>13316180.5</v>
      </c>
      <c r="U37" s="12">
        <f t="shared" si="65"/>
        <v>3559065.86</v>
      </c>
      <c r="V37" s="9">
        <f t="shared" si="65"/>
        <v>535680</v>
      </c>
      <c r="W37" s="12">
        <f t="shared" si="65"/>
        <v>16016220.535</v>
      </c>
      <c r="X37" s="12">
        <f t="shared" si="65"/>
        <v>4292186.2381999996</v>
      </c>
      <c r="Y37" s="9">
        <f t="shared" si="65"/>
        <v>642816</v>
      </c>
      <c r="Z37" s="12">
        <f t="shared" ref="Z37" si="66">SUM(Z33:Z36)</f>
        <v>18444948.675999999</v>
      </c>
      <c r="AA37" s="12">
        <f t="shared" ref="AA37" si="67">SUM(AA33:AA36)</f>
        <v>4951035.6795199998</v>
      </c>
      <c r="AB37" s="9">
        <f t="shared" ref="AB37" si="68">SUM(AB33:AB36)</f>
        <v>739238.40000000002</v>
      </c>
      <c r="AC37" s="12">
        <f t="shared" ref="AC37" si="69">SUM(AC33:AC36)</f>
        <v>21320142.961599998</v>
      </c>
      <c r="AD37" s="12">
        <f t="shared" ref="AD37" si="70">SUM(AD33:AD36)</f>
        <v>5732541.1310719997</v>
      </c>
      <c r="AE37" s="12">
        <f t="shared" ref="AE37" si="71">SUM(AE33:AE36)</f>
        <v>850124.15999999992</v>
      </c>
      <c r="AF37" s="12">
        <f t="shared" ref="AF37" si="72">SUM(AF33:AF36)</f>
        <v>24736966.355920002</v>
      </c>
      <c r="AG37" s="12">
        <f t="shared" ref="AG37" si="73">SUM(AG33:AG36)</f>
        <v>6663084.5638111997</v>
      </c>
      <c r="AH37" s="12">
        <f t="shared" ref="AH37" si="74">SUM(AH33:AH36)</f>
        <v>977642.78399999999</v>
      </c>
      <c r="AI37" s="12">
        <f t="shared" ref="AI37" si="75">SUM(AI33:AI36)</f>
        <v>28812681.368951201</v>
      </c>
      <c r="AJ37" s="12">
        <f t="shared" ref="AJ37" si="76">SUM(AJ33:AJ36)</f>
        <v>7775206.0706801601</v>
      </c>
      <c r="AK37" s="12">
        <f t="shared" ref="AK37" si="77">SUM(AK33:AK36)</f>
        <v>1124289.2015999998</v>
      </c>
      <c r="AL37" s="12">
        <f t="shared" ref="AL37" si="78">SUM(AL33:AL36)</f>
        <v>33692000.322953224</v>
      </c>
      <c r="AM37" s="9">
        <f t="shared" ref="AM37" si="79">SUM(AM33:AM36)</f>
        <v>9109098.5599195566</v>
      </c>
      <c r="AN37" s="12">
        <f t="shared" ref="AN37" si="80">SUM(AN33:AN36)</f>
        <v>1292932.5818399999</v>
      </c>
    </row>
    <row r="38" spans="1:40" ht="16.8" thickTop="1" thickBot="1" x14ac:dyDescent="0.35">
      <c r="C38" s="2" t="s">
        <v>16</v>
      </c>
      <c r="D38" s="2">
        <v>1.5</v>
      </c>
      <c r="E38" s="2">
        <v>1500000</v>
      </c>
      <c r="F38" s="2"/>
      <c r="G38" s="2">
        <v>420000</v>
      </c>
      <c r="H38" s="2"/>
      <c r="I38" s="2">
        <v>100000</v>
      </c>
      <c r="J38" s="2"/>
      <c r="K38" s="2">
        <f>G38-I38</f>
        <v>320000</v>
      </c>
      <c r="M38" s="9" t="s">
        <v>44</v>
      </c>
      <c r="N38" s="24">
        <f>N37/100000</f>
        <v>94.75</v>
      </c>
      <c r="O38" s="24">
        <f t="shared" ref="O38:AN38" si="81">O37/100000</f>
        <v>25.213999999999999</v>
      </c>
      <c r="P38" s="24">
        <f t="shared" si="81"/>
        <v>3.72</v>
      </c>
      <c r="Q38" s="24">
        <f t="shared" si="81"/>
        <v>111.8215</v>
      </c>
      <c r="R38" s="45">
        <f t="shared" si="81"/>
        <v>29.816780000000001</v>
      </c>
      <c r="S38" s="24">
        <f t="shared" si="81"/>
        <v>4.4640000000000004</v>
      </c>
      <c r="T38" s="24">
        <f t="shared" si="81"/>
        <v>133.16180499999999</v>
      </c>
      <c r="U38" s="24">
        <f t="shared" si="81"/>
        <v>35.590658599999998</v>
      </c>
      <c r="V38" s="24">
        <f t="shared" si="81"/>
        <v>5.3567999999999998</v>
      </c>
      <c r="W38" s="24">
        <f t="shared" si="81"/>
        <v>160.16220534999999</v>
      </c>
      <c r="X38" s="24">
        <f t="shared" si="81"/>
        <v>42.921862381999993</v>
      </c>
      <c r="Y38" s="24">
        <f t="shared" si="81"/>
        <v>6.4281600000000001</v>
      </c>
      <c r="Z38" s="24">
        <f t="shared" si="81"/>
        <v>184.44948675999998</v>
      </c>
      <c r="AA38" s="24">
        <f t="shared" si="81"/>
        <v>49.510356795199996</v>
      </c>
      <c r="AB38" s="24">
        <f t="shared" si="81"/>
        <v>7.3923839999999998</v>
      </c>
      <c r="AC38" s="24">
        <f t="shared" si="81"/>
        <v>213.20142961599998</v>
      </c>
      <c r="AD38" s="24">
        <f t="shared" si="81"/>
        <v>57.32541131072</v>
      </c>
      <c r="AE38" s="24">
        <f t="shared" si="81"/>
        <v>8.5012415999999984</v>
      </c>
      <c r="AF38" s="24">
        <f t="shared" si="81"/>
        <v>247.36966355920001</v>
      </c>
      <c r="AG38" s="24">
        <f t="shared" si="81"/>
        <v>66.630845638111992</v>
      </c>
      <c r="AH38" s="24">
        <f t="shared" si="81"/>
        <v>9.7764278400000002</v>
      </c>
      <c r="AI38" s="24">
        <f t="shared" si="81"/>
        <v>288.12681368951201</v>
      </c>
      <c r="AJ38" s="24">
        <f t="shared" si="81"/>
        <v>77.752060706801601</v>
      </c>
      <c r="AK38" s="24">
        <f t="shared" si="81"/>
        <v>11.242892015999997</v>
      </c>
      <c r="AL38" s="24">
        <f t="shared" si="81"/>
        <v>336.92000322953226</v>
      </c>
      <c r="AM38" s="24">
        <f t="shared" si="81"/>
        <v>91.090985599195562</v>
      </c>
      <c r="AN38" s="24">
        <f t="shared" si="81"/>
        <v>12.929325818399999</v>
      </c>
    </row>
    <row r="39" spans="1:40" ht="15.6" thickTop="1" thickBot="1" x14ac:dyDescent="0.35">
      <c r="C39" s="2"/>
      <c r="D39" s="2"/>
      <c r="E39" s="2"/>
      <c r="F39" s="2"/>
      <c r="G39" s="2"/>
      <c r="H39" s="2"/>
      <c r="I39" s="2"/>
      <c r="J39" s="2"/>
      <c r="K39" s="2"/>
    </row>
    <row r="40" spans="1:40" ht="16.8" thickTop="1" thickBot="1" x14ac:dyDescent="0.35">
      <c r="C40" s="9" t="s">
        <v>27</v>
      </c>
      <c r="D40" s="9">
        <f>SUM(D35:D38)</f>
        <v>8.1999999999999993</v>
      </c>
      <c r="E40" s="9">
        <f>SUM(E35:E38)</f>
        <v>8200000</v>
      </c>
      <c r="F40" s="9"/>
      <c r="G40" s="9">
        <f>SUM(G35:G38)</f>
        <v>2180000</v>
      </c>
      <c r="H40" s="9"/>
      <c r="I40" s="9">
        <f>SUM(I35:I38)</f>
        <v>310000</v>
      </c>
      <c r="J40" s="9"/>
      <c r="K40" s="9">
        <f>G40-I40</f>
        <v>1870000</v>
      </c>
      <c r="O40">
        <f>O35/O37</f>
        <v>6.3853414769572459E-2</v>
      </c>
    </row>
    <row r="41" spans="1:40" ht="15.6" thickTop="1" thickBot="1" x14ac:dyDescent="0.35">
      <c r="C41" s="2"/>
      <c r="D41" s="2"/>
      <c r="E41" s="2"/>
      <c r="F41" s="2"/>
      <c r="G41" s="2"/>
      <c r="H41" s="2"/>
      <c r="I41" s="2"/>
      <c r="J41" s="2"/>
      <c r="K41" s="2"/>
      <c r="O41">
        <f>O36/O37</f>
        <v>0.21654636313159356</v>
      </c>
    </row>
    <row r="42" spans="1:40" ht="15" thickTop="1" x14ac:dyDescent="0.3"/>
    <row r="44" spans="1:40" ht="15" thickBot="1" x14ac:dyDescent="0.35">
      <c r="C44" s="32"/>
    </row>
    <row r="45" spans="1:40" ht="16.8" thickTop="1" thickBot="1" x14ac:dyDescent="0.35">
      <c r="C45" s="95" t="s">
        <v>71</v>
      </c>
      <c r="D45" s="95"/>
      <c r="E45" s="95"/>
      <c r="F45" s="95"/>
    </row>
    <row r="46" spans="1:40" ht="15.6" thickTop="1" thickBot="1" x14ac:dyDescent="0.35">
      <c r="C46" s="2"/>
      <c r="D46" s="2"/>
      <c r="E46" s="2"/>
      <c r="F46" s="2"/>
    </row>
    <row r="47" spans="1:40" ht="16.8" thickTop="1" thickBot="1" x14ac:dyDescent="0.35">
      <c r="C47" s="2"/>
      <c r="D47" s="2"/>
      <c r="E47" s="9" t="s">
        <v>33</v>
      </c>
      <c r="F47" s="9" t="s">
        <v>34</v>
      </c>
    </row>
    <row r="48" spans="1:40" ht="15.6" thickTop="1" thickBot="1" x14ac:dyDescent="0.35">
      <c r="C48" s="2" t="s">
        <v>35</v>
      </c>
      <c r="D48" s="2"/>
      <c r="E48" s="19">
        <v>0.12</v>
      </c>
      <c r="F48" s="19">
        <v>0.1</v>
      </c>
    </row>
    <row r="49" spans="3:40" ht="15.6" thickTop="1" thickBot="1" x14ac:dyDescent="0.35">
      <c r="C49" s="2" t="s">
        <v>37</v>
      </c>
      <c r="D49" s="2"/>
      <c r="E49" s="19">
        <v>0.4</v>
      </c>
      <c r="F49" s="19">
        <v>0.25</v>
      </c>
    </row>
    <row r="50" spans="3:40" ht="15.6" thickTop="1" thickBot="1" x14ac:dyDescent="0.35">
      <c r="C50" s="2" t="s">
        <v>36</v>
      </c>
      <c r="D50" s="2"/>
      <c r="E50" s="19">
        <v>0.15</v>
      </c>
      <c r="F50" s="19">
        <v>0.12</v>
      </c>
    </row>
    <row r="51" spans="3:40" ht="15.6" thickTop="1" thickBot="1" x14ac:dyDescent="0.35">
      <c r="C51" s="2" t="s">
        <v>39</v>
      </c>
      <c r="D51" s="2"/>
      <c r="E51" s="19">
        <v>0.2</v>
      </c>
      <c r="F51" s="19">
        <v>0.15</v>
      </c>
    </row>
    <row r="52" spans="3:40" ht="15.6" thickTop="1" thickBot="1" x14ac:dyDescent="0.35">
      <c r="C52" s="2"/>
      <c r="D52" s="2"/>
      <c r="E52" s="2"/>
      <c r="F52" s="2"/>
    </row>
    <row r="53" spans="3:40" ht="15" thickTop="1" x14ac:dyDescent="0.3"/>
    <row r="54" spans="3:40" x14ac:dyDescent="0.3">
      <c r="C54" s="104" t="s">
        <v>74</v>
      </c>
      <c r="D54" s="105"/>
      <c r="E54" s="105"/>
      <c r="F54" s="105"/>
      <c r="G54" s="105"/>
    </row>
    <row r="56" spans="3:40" ht="15" thickBot="1" x14ac:dyDescent="0.35">
      <c r="C56" s="13" t="s">
        <v>29</v>
      </c>
      <c r="D56" s="1"/>
      <c r="E56" s="1"/>
      <c r="F56" s="1"/>
      <c r="G56" s="1"/>
      <c r="H56" s="1"/>
      <c r="I56" s="1"/>
      <c r="J56" s="1"/>
      <c r="K56" s="1"/>
      <c r="M56" t="s">
        <v>72</v>
      </c>
    </row>
    <row r="57" spans="3:40" ht="19.2" thickTop="1" thickBot="1" x14ac:dyDescent="0.4">
      <c r="C57" s="4" t="s">
        <v>18</v>
      </c>
      <c r="D57" s="4" t="s">
        <v>30</v>
      </c>
      <c r="E57" s="4" t="s">
        <v>31</v>
      </c>
      <c r="F57" s="2"/>
      <c r="G57" s="4" t="s">
        <v>19</v>
      </c>
      <c r="H57" s="4"/>
      <c r="I57" s="4" t="s">
        <v>20</v>
      </c>
      <c r="J57" s="4"/>
      <c r="K57" s="4" t="s">
        <v>32</v>
      </c>
      <c r="M57" s="6" t="s">
        <v>28</v>
      </c>
      <c r="N57" s="103" t="s">
        <v>1</v>
      </c>
      <c r="O57" s="102"/>
      <c r="P57" s="102"/>
      <c r="Q57" s="102" t="s">
        <v>2</v>
      </c>
      <c r="R57" s="102"/>
      <c r="S57" s="102"/>
      <c r="T57" s="102" t="s">
        <v>3</v>
      </c>
      <c r="U57" s="102"/>
      <c r="V57" s="102"/>
      <c r="W57" s="102" t="s">
        <v>0</v>
      </c>
      <c r="X57" s="102"/>
      <c r="Y57" s="102"/>
      <c r="Z57" s="102" t="s">
        <v>4</v>
      </c>
      <c r="AA57" s="102"/>
      <c r="AB57" s="102"/>
      <c r="AC57" s="102" t="s">
        <v>5</v>
      </c>
      <c r="AD57" s="102"/>
      <c r="AE57" s="102"/>
      <c r="AF57" s="102" t="s">
        <v>6</v>
      </c>
      <c r="AG57" s="102"/>
      <c r="AH57" s="102"/>
      <c r="AI57" s="102" t="s">
        <v>7</v>
      </c>
      <c r="AJ57" s="102"/>
      <c r="AK57" s="102"/>
      <c r="AL57" s="102" t="s">
        <v>8</v>
      </c>
      <c r="AM57" s="102"/>
      <c r="AN57" s="102"/>
    </row>
    <row r="58" spans="3:40" ht="19.2" thickTop="1" thickBot="1" x14ac:dyDescent="0.4">
      <c r="C58" s="2"/>
      <c r="D58" s="2"/>
      <c r="E58" s="2"/>
      <c r="F58" s="2"/>
      <c r="G58" s="2"/>
      <c r="H58" s="2"/>
      <c r="I58" s="2"/>
      <c r="J58" s="2"/>
      <c r="K58" s="2"/>
      <c r="M58" s="17" t="s">
        <v>26</v>
      </c>
      <c r="N58" s="18" t="s">
        <v>10</v>
      </c>
      <c r="O58" s="16" t="s">
        <v>11</v>
      </c>
      <c r="P58" s="16" t="s">
        <v>20</v>
      </c>
      <c r="Q58" s="16" t="s">
        <v>10</v>
      </c>
      <c r="R58" s="16" t="s">
        <v>11</v>
      </c>
      <c r="S58" s="16" t="s">
        <v>20</v>
      </c>
      <c r="T58" s="16" t="s">
        <v>10</v>
      </c>
      <c r="U58" s="16" t="s">
        <v>11</v>
      </c>
      <c r="V58" s="16" t="s">
        <v>20</v>
      </c>
      <c r="W58" s="16" t="s">
        <v>10</v>
      </c>
      <c r="X58" s="16" t="s">
        <v>11</v>
      </c>
      <c r="Y58" s="16" t="s">
        <v>20</v>
      </c>
      <c r="Z58" s="16" t="s">
        <v>10</v>
      </c>
      <c r="AA58" s="16" t="s">
        <v>11</v>
      </c>
      <c r="AB58" s="16" t="s">
        <v>20</v>
      </c>
      <c r="AC58" s="16" t="s">
        <v>10</v>
      </c>
      <c r="AD58" s="16" t="s">
        <v>11</v>
      </c>
      <c r="AE58" s="16" t="s">
        <v>20</v>
      </c>
      <c r="AF58" s="16" t="s">
        <v>10</v>
      </c>
      <c r="AG58" s="16" t="s">
        <v>11</v>
      </c>
      <c r="AH58" s="16" t="s">
        <v>20</v>
      </c>
      <c r="AI58" s="16" t="s">
        <v>10</v>
      </c>
      <c r="AJ58" s="16" t="s">
        <v>11</v>
      </c>
      <c r="AK58" s="16" t="s">
        <v>20</v>
      </c>
      <c r="AL58" s="16" t="s">
        <v>10</v>
      </c>
      <c r="AM58" s="16" t="s">
        <v>11</v>
      </c>
      <c r="AN58" s="16" t="s">
        <v>20</v>
      </c>
    </row>
    <row r="59" spans="3:40" ht="15.6" thickTop="1" thickBot="1" x14ac:dyDescent="0.35">
      <c r="C59" s="2" t="s">
        <v>13</v>
      </c>
      <c r="D59" s="2">
        <v>5</v>
      </c>
      <c r="E59" s="2">
        <v>5000000</v>
      </c>
      <c r="F59" s="2"/>
      <c r="G59" s="2">
        <f>E59*38%</f>
        <v>1900000</v>
      </c>
      <c r="H59" s="2"/>
      <c r="I59" s="2">
        <v>100000</v>
      </c>
      <c r="J59" s="2"/>
      <c r="K59" s="2">
        <f>G59-I59</f>
        <v>1800000</v>
      </c>
      <c r="M59" s="2" t="s">
        <v>22</v>
      </c>
      <c r="N59" s="2">
        <f>E59+12%*E59</f>
        <v>5600000</v>
      </c>
      <c r="O59" s="2">
        <f>G59+12%*G59</f>
        <v>2128000</v>
      </c>
      <c r="P59" s="2">
        <f>I59+12%*I59</f>
        <v>112000</v>
      </c>
      <c r="Q59" s="2">
        <f t="shared" ref="Q59:Q62" si="82">N59+12%*N59</f>
        <v>6272000</v>
      </c>
      <c r="R59" s="2">
        <f t="shared" ref="R59:R62" si="83">O59+12%*O59</f>
        <v>2383360</v>
      </c>
      <c r="S59" s="2">
        <f>P59+12%*P59</f>
        <v>125440</v>
      </c>
      <c r="T59" s="2">
        <f t="shared" ref="T59:T62" si="84">Q59+12%*Q59</f>
        <v>7024640</v>
      </c>
      <c r="U59" s="11">
        <f t="shared" ref="U59:U62" si="85">R59+12%*R59</f>
        <v>2669363.2000000002</v>
      </c>
      <c r="V59" s="11">
        <f>S59+12%*S59</f>
        <v>140492.79999999999</v>
      </c>
      <c r="W59" s="11">
        <f t="shared" ref="W59:W62" si="86">T59+12%*T59</f>
        <v>7867596.7999999998</v>
      </c>
      <c r="X59" s="11">
        <f t="shared" ref="X59:X62" si="87">U59+12%*U59</f>
        <v>2989686.784</v>
      </c>
      <c r="Y59" s="11">
        <f t="shared" ref="Y59:AN59" si="88">V59+12%*V59</f>
        <v>157351.93599999999</v>
      </c>
      <c r="Z59" s="11">
        <f t="shared" si="88"/>
        <v>8811708.4159999993</v>
      </c>
      <c r="AA59" s="11">
        <f t="shared" si="88"/>
        <v>3348449.19808</v>
      </c>
      <c r="AB59" s="11">
        <f t="shared" si="88"/>
        <v>176234.16832</v>
      </c>
      <c r="AC59" s="11">
        <f t="shared" si="88"/>
        <v>9869113.4259199984</v>
      </c>
      <c r="AD59" s="11">
        <f t="shared" si="88"/>
        <v>3750263.1018495997</v>
      </c>
      <c r="AE59" s="11">
        <f t="shared" si="88"/>
        <v>197382.2685184</v>
      </c>
      <c r="AF59" s="11">
        <f t="shared" si="88"/>
        <v>11053407.037030399</v>
      </c>
      <c r="AG59" s="11">
        <f t="shared" si="88"/>
        <v>4200294.6740715513</v>
      </c>
      <c r="AH59" s="11">
        <f t="shared" si="88"/>
        <v>221068.14074060801</v>
      </c>
      <c r="AI59" s="11">
        <f t="shared" si="88"/>
        <v>12379815.881474046</v>
      </c>
      <c r="AJ59" s="11">
        <f t="shared" si="88"/>
        <v>4704330.0349601377</v>
      </c>
      <c r="AK59" s="11">
        <f t="shared" si="88"/>
        <v>247596.31762948097</v>
      </c>
      <c r="AL59" s="11">
        <f t="shared" si="88"/>
        <v>13865393.787250932</v>
      </c>
      <c r="AM59" s="11">
        <f t="shared" si="88"/>
        <v>5268849.6391553544</v>
      </c>
      <c r="AN59" s="11">
        <f t="shared" si="88"/>
        <v>277307.87574501871</v>
      </c>
    </row>
    <row r="60" spans="3:40" ht="15.6" thickTop="1" thickBot="1" x14ac:dyDescent="0.35">
      <c r="C60" s="2" t="s">
        <v>14</v>
      </c>
      <c r="D60" s="2">
        <v>1</v>
      </c>
      <c r="E60" s="2">
        <v>1000000</v>
      </c>
      <c r="F60" s="2"/>
      <c r="G60" s="2">
        <f>E60*30%</f>
        <v>300000</v>
      </c>
      <c r="H60" s="2"/>
      <c r="I60" s="2">
        <v>50000</v>
      </c>
      <c r="J60" s="2"/>
      <c r="K60" s="2">
        <f>G60-I60</f>
        <v>250000</v>
      </c>
      <c r="M60" s="2" t="s">
        <v>23</v>
      </c>
      <c r="N60" s="2">
        <f t="shared" ref="N60:N62" si="89">E60+12%*E60</f>
        <v>1120000</v>
      </c>
      <c r="O60" s="2">
        <f t="shared" ref="O60:O62" si="90">G60+12%*G60</f>
        <v>336000</v>
      </c>
      <c r="P60" s="2">
        <f t="shared" ref="P60:P62" si="91">I60+12%*I60</f>
        <v>56000</v>
      </c>
      <c r="Q60" s="2">
        <f t="shared" si="82"/>
        <v>1254400</v>
      </c>
      <c r="R60" s="2">
        <f t="shared" si="83"/>
        <v>376320</v>
      </c>
      <c r="S60" s="2">
        <f t="shared" ref="S60:S62" si="92">P60+12%*P60</f>
        <v>62720</v>
      </c>
      <c r="T60" s="2">
        <f t="shared" si="84"/>
        <v>1404928</v>
      </c>
      <c r="U60" s="11">
        <f t="shared" si="85"/>
        <v>421478.40000000002</v>
      </c>
      <c r="V60" s="11">
        <f t="shared" ref="V60:V62" si="93">S60+12%*S60</f>
        <v>70246.399999999994</v>
      </c>
      <c r="W60" s="11">
        <f t="shared" si="86"/>
        <v>1573519.3599999999</v>
      </c>
      <c r="X60" s="11">
        <f t="shared" si="87"/>
        <v>472055.80800000002</v>
      </c>
      <c r="Y60" s="11">
        <f t="shared" ref="Y60:Y62" si="94">V60+12%*V60</f>
        <v>78675.967999999993</v>
      </c>
      <c r="Z60" s="11">
        <f t="shared" ref="Z60:Z62" si="95">W60+12%*W60</f>
        <v>1762341.6831999999</v>
      </c>
      <c r="AA60" s="11">
        <f t="shared" ref="AA60:AA62" si="96">X60+12%*X60</f>
        <v>528702.50496000005</v>
      </c>
      <c r="AB60" s="11">
        <f t="shared" ref="AB60:AB62" si="97">Y60+12%*Y60</f>
        <v>88117.084159999999</v>
      </c>
      <c r="AC60" s="11">
        <f t="shared" ref="AC60:AC62" si="98">Z60+12%*Z60</f>
        <v>1973822.6851839998</v>
      </c>
      <c r="AD60" s="11">
        <f t="shared" ref="AD60:AD62" si="99">AA60+12%*AA60</f>
        <v>592146.80555520009</v>
      </c>
      <c r="AE60" s="11">
        <f t="shared" ref="AE60:AE62" si="100">AB60+12%*AB60</f>
        <v>98691.1342592</v>
      </c>
      <c r="AF60" s="11">
        <f t="shared" ref="AF60:AF62" si="101">AC60+12%*AC60</f>
        <v>2210681.4074060796</v>
      </c>
      <c r="AG60" s="11">
        <f t="shared" ref="AG60:AG62" si="102">AD60+12%*AD60</f>
        <v>663204.42222182406</v>
      </c>
      <c r="AH60" s="11">
        <f t="shared" ref="AH60:AH62" si="103">AE60+12%*AE60</f>
        <v>110534.07037030401</v>
      </c>
      <c r="AI60" s="11">
        <f t="shared" ref="AI60:AI62" si="104">AF60+12%*AF60</f>
        <v>2475963.1762948092</v>
      </c>
      <c r="AJ60" s="11">
        <f t="shared" ref="AJ60:AJ62" si="105">AG60+12%*AG60</f>
        <v>742788.9528884429</v>
      </c>
      <c r="AK60" s="11">
        <f t="shared" ref="AK60:AK62" si="106">AH60+12%*AH60</f>
        <v>123798.15881474048</v>
      </c>
      <c r="AL60" s="11">
        <f t="shared" ref="AL60:AL62" si="107">AI60+12%*AI60</f>
        <v>2773078.7574501862</v>
      </c>
      <c r="AM60" s="11">
        <f t="shared" ref="AM60:AM62" si="108">AJ60+12%*AJ60</f>
        <v>831923.62723505602</v>
      </c>
      <c r="AN60" s="11">
        <f t="shared" ref="AN60:AN62" si="109">AK60+12%*AK60</f>
        <v>138653.93787250936</v>
      </c>
    </row>
    <row r="61" spans="3:40" ht="15.6" thickTop="1" thickBot="1" x14ac:dyDescent="0.35">
      <c r="C61" s="2" t="s">
        <v>15</v>
      </c>
      <c r="D61" s="2">
        <v>1.4</v>
      </c>
      <c r="E61" s="2">
        <v>1400000</v>
      </c>
      <c r="F61" s="2"/>
      <c r="G61" s="2">
        <f>E61*20%</f>
        <v>280000</v>
      </c>
      <c r="H61" s="2"/>
      <c r="I61" s="2">
        <v>100000</v>
      </c>
      <c r="J61" s="2"/>
      <c r="K61" s="2">
        <f>G61-I61</f>
        <v>180000</v>
      </c>
      <c r="M61" s="2" t="s">
        <v>9</v>
      </c>
      <c r="N61" s="2">
        <f t="shared" si="89"/>
        <v>1568000</v>
      </c>
      <c r="O61" s="2">
        <f t="shared" si="90"/>
        <v>313600</v>
      </c>
      <c r="P61" s="2">
        <f>I61+12%*I61</f>
        <v>112000</v>
      </c>
      <c r="Q61" s="2">
        <f t="shared" si="82"/>
        <v>1756160</v>
      </c>
      <c r="R61" s="2">
        <f t="shared" si="83"/>
        <v>351232</v>
      </c>
      <c r="S61" s="2">
        <f t="shared" si="92"/>
        <v>125440</v>
      </c>
      <c r="T61" s="2">
        <f t="shared" si="84"/>
        <v>1966899.2</v>
      </c>
      <c r="U61" s="11">
        <f t="shared" si="85"/>
        <v>393379.83999999997</v>
      </c>
      <c r="V61" s="11">
        <f t="shared" si="93"/>
        <v>140492.79999999999</v>
      </c>
      <c r="W61" s="11">
        <f t="shared" si="86"/>
        <v>2202927.1039999998</v>
      </c>
      <c r="X61" s="11">
        <f t="shared" si="87"/>
        <v>440585.42079999996</v>
      </c>
      <c r="Y61" s="11">
        <f t="shared" si="94"/>
        <v>157351.93599999999</v>
      </c>
      <c r="Z61" s="11">
        <f t="shared" si="95"/>
        <v>2467278.3564799996</v>
      </c>
      <c r="AA61" s="11">
        <f t="shared" si="96"/>
        <v>493455.67129599996</v>
      </c>
      <c r="AB61" s="11">
        <f t="shared" si="97"/>
        <v>176234.16832</v>
      </c>
      <c r="AC61" s="11">
        <f t="shared" si="98"/>
        <v>2763351.7592575997</v>
      </c>
      <c r="AD61" s="11">
        <f t="shared" si="99"/>
        <v>552670.3518515199</v>
      </c>
      <c r="AE61" s="11">
        <f t="shared" si="100"/>
        <v>197382.2685184</v>
      </c>
      <c r="AF61" s="11">
        <f t="shared" si="101"/>
        <v>3094953.9703685115</v>
      </c>
      <c r="AG61" s="11">
        <f t="shared" si="102"/>
        <v>618990.7940737023</v>
      </c>
      <c r="AH61" s="11">
        <f t="shared" si="103"/>
        <v>221068.14074060801</v>
      </c>
      <c r="AI61" s="11">
        <f t="shared" si="104"/>
        <v>3466348.4468127331</v>
      </c>
      <c r="AJ61" s="11">
        <f t="shared" si="105"/>
        <v>693269.68936254655</v>
      </c>
      <c r="AK61" s="11">
        <f t="shared" si="106"/>
        <v>247596.31762948097</v>
      </c>
      <c r="AL61" s="11">
        <f t="shared" si="107"/>
        <v>3882310.260430261</v>
      </c>
      <c r="AM61" s="11">
        <f t="shared" si="108"/>
        <v>776462.05208605214</v>
      </c>
      <c r="AN61" s="11">
        <f t="shared" si="109"/>
        <v>277307.87574501871</v>
      </c>
    </row>
    <row r="62" spans="3:40" ht="15.6" thickTop="1" thickBot="1" x14ac:dyDescent="0.35">
      <c r="C62" s="2" t="s">
        <v>16</v>
      </c>
      <c r="D62" s="2">
        <v>1</v>
      </c>
      <c r="E62" s="2">
        <v>1000000</v>
      </c>
      <c r="F62" s="2"/>
      <c r="G62" s="2">
        <f>E62*40%</f>
        <v>400000</v>
      </c>
      <c r="H62" s="2"/>
      <c r="I62" s="2">
        <v>100000</v>
      </c>
      <c r="J62" s="2"/>
      <c r="K62" s="2">
        <f>G62-I62</f>
        <v>300000</v>
      </c>
      <c r="M62" s="2" t="s">
        <v>24</v>
      </c>
      <c r="N62" s="2">
        <f t="shared" si="89"/>
        <v>1120000</v>
      </c>
      <c r="O62" s="2">
        <f t="shared" si="90"/>
        <v>448000</v>
      </c>
      <c r="P62" s="2">
        <f t="shared" si="91"/>
        <v>112000</v>
      </c>
      <c r="Q62" s="2">
        <f t="shared" si="82"/>
        <v>1254400</v>
      </c>
      <c r="R62" s="2">
        <f t="shared" si="83"/>
        <v>501760</v>
      </c>
      <c r="S62" s="2">
        <f t="shared" si="92"/>
        <v>125440</v>
      </c>
      <c r="T62" s="2">
        <f t="shared" si="84"/>
        <v>1404928</v>
      </c>
      <c r="U62" s="11">
        <f t="shared" si="85"/>
        <v>561971.19999999995</v>
      </c>
      <c r="V62" s="11">
        <f t="shared" si="93"/>
        <v>140492.79999999999</v>
      </c>
      <c r="W62" s="11">
        <f t="shared" si="86"/>
        <v>1573519.3599999999</v>
      </c>
      <c r="X62" s="11">
        <f t="shared" si="87"/>
        <v>629407.74399999995</v>
      </c>
      <c r="Y62" s="11">
        <f t="shared" si="94"/>
        <v>157351.93599999999</v>
      </c>
      <c r="Z62" s="11">
        <f t="shared" si="95"/>
        <v>1762341.6831999999</v>
      </c>
      <c r="AA62" s="11">
        <f t="shared" si="96"/>
        <v>704936.67327999999</v>
      </c>
      <c r="AB62" s="11">
        <f t="shared" si="97"/>
        <v>176234.16832</v>
      </c>
      <c r="AC62" s="11">
        <f t="shared" si="98"/>
        <v>1973822.6851839998</v>
      </c>
      <c r="AD62" s="11">
        <f t="shared" si="99"/>
        <v>789529.0740736</v>
      </c>
      <c r="AE62" s="11">
        <f t="shared" si="100"/>
        <v>197382.2685184</v>
      </c>
      <c r="AF62" s="11">
        <f t="shared" si="101"/>
        <v>2210681.4074060796</v>
      </c>
      <c r="AG62" s="11">
        <f t="shared" si="102"/>
        <v>884272.56296243204</v>
      </c>
      <c r="AH62" s="11">
        <f t="shared" si="103"/>
        <v>221068.14074060801</v>
      </c>
      <c r="AI62" s="11">
        <f t="shared" si="104"/>
        <v>2475963.1762948092</v>
      </c>
      <c r="AJ62" s="11">
        <f t="shared" si="105"/>
        <v>990385.27051792387</v>
      </c>
      <c r="AK62" s="11">
        <f t="shared" si="106"/>
        <v>247596.31762948097</v>
      </c>
      <c r="AL62" s="11">
        <f t="shared" si="107"/>
        <v>2773078.7574501862</v>
      </c>
      <c r="AM62" s="11">
        <f t="shared" si="108"/>
        <v>1109231.5029800748</v>
      </c>
      <c r="AN62" s="11">
        <f t="shared" si="109"/>
        <v>277307.87574501871</v>
      </c>
    </row>
    <row r="63" spans="3:40" ht="16.8" thickTop="1" thickBot="1" x14ac:dyDescent="0.35">
      <c r="C63" s="2"/>
      <c r="D63" s="2"/>
      <c r="E63" s="2"/>
      <c r="F63" s="2"/>
      <c r="G63" s="2"/>
      <c r="H63" s="2"/>
      <c r="I63" s="2"/>
      <c r="J63" s="2"/>
      <c r="K63" s="2"/>
      <c r="M63" s="9" t="s">
        <v>27</v>
      </c>
      <c r="N63" s="9">
        <f t="shared" ref="N63:Y63" si="110">SUM(N59:N62)</f>
        <v>9408000</v>
      </c>
      <c r="O63" s="9">
        <f t="shared" si="110"/>
        <v>3225600</v>
      </c>
      <c r="P63" s="9">
        <f t="shared" si="110"/>
        <v>392000</v>
      </c>
      <c r="Q63" s="9">
        <f t="shared" si="110"/>
        <v>10536960</v>
      </c>
      <c r="R63" s="9">
        <f t="shared" si="110"/>
        <v>3612672</v>
      </c>
      <c r="S63" s="9">
        <f t="shared" si="110"/>
        <v>439040</v>
      </c>
      <c r="T63" s="9">
        <f t="shared" si="110"/>
        <v>11801395.199999999</v>
      </c>
      <c r="U63" s="12">
        <f t="shared" si="110"/>
        <v>4046192.6399999997</v>
      </c>
      <c r="V63" s="9">
        <f t="shared" si="110"/>
        <v>491724.79999999999</v>
      </c>
      <c r="W63" s="12">
        <f t="shared" si="110"/>
        <v>13217562.624</v>
      </c>
      <c r="X63" s="12">
        <f t="shared" si="110"/>
        <v>4531735.7567999996</v>
      </c>
      <c r="Y63" s="9">
        <f t="shared" si="110"/>
        <v>550731.77599999995</v>
      </c>
      <c r="Z63" s="12">
        <f t="shared" ref="Z63:AN63" si="111">SUM(Z59:Z62)</f>
        <v>14803670.138879998</v>
      </c>
      <c r="AA63" s="12">
        <f t="shared" si="111"/>
        <v>5075544.0476159994</v>
      </c>
      <c r="AB63" s="9">
        <f t="shared" si="111"/>
        <v>616819.58912000002</v>
      </c>
      <c r="AC63" s="12">
        <f t="shared" si="111"/>
        <v>16580110.555545598</v>
      </c>
      <c r="AD63" s="12">
        <f t="shared" si="111"/>
        <v>5684609.3333299197</v>
      </c>
      <c r="AE63" s="12">
        <f t="shared" si="111"/>
        <v>690837.93981440004</v>
      </c>
      <c r="AF63" s="12">
        <f t="shared" si="111"/>
        <v>18569723.822211072</v>
      </c>
      <c r="AG63" s="12">
        <f t="shared" si="111"/>
        <v>6366762.4533295101</v>
      </c>
      <c r="AH63" s="12">
        <f t="shared" si="111"/>
        <v>773738.49259212799</v>
      </c>
      <c r="AI63" s="12">
        <f t="shared" si="111"/>
        <v>20798090.680876397</v>
      </c>
      <c r="AJ63" s="12">
        <f t="shared" si="111"/>
        <v>7130773.9477290511</v>
      </c>
      <c r="AK63" s="12">
        <f t="shared" si="111"/>
        <v>866587.11170318339</v>
      </c>
      <c r="AL63" s="12">
        <f t="shared" si="111"/>
        <v>23293861.562581565</v>
      </c>
      <c r="AM63" s="9">
        <f t="shared" si="111"/>
        <v>7986466.8214565376</v>
      </c>
      <c r="AN63" s="12">
        <f t="shared" si="111"/>
        <v>970577.56510756549</v>
      </c>
    </row>
    <row r="64" spans="3:40" ht="16.8" thickTop="1" thickBot="1" x14ac:dyDescent="0.35">
      <c r="C64" s="9" t="s">
        <v>27</v>
      </c>
      <c r="D64" s="9">
        <f>SUM(D59:D62)</f>
        <v>8.4</v>
      </c>
      <c r="E64" s="9">
        <f>SUM(E59:E62)</f>
        <v>8400000</v>
      </c>
      <c r="F64" s="9"/>
      <c r="G64" s="9">
        <f>SUM(G59:G62)</f>
        <v>2880000</v>
      </c>
      <c r="H64" s="9"/>
      <c r="I64" s="9">
        <f>SUM(I59:I62)</f>
        <v>350000</v>
      </c>
      <c r="J64" s="9"/>
      <c r="K64" s="9">
        <f>G64-I64</f>
        <v>2530000</v>
      </c>
      <c r="M64" s="9" t="s">
        <v>44</v>
      </c>
      <c r="N64" s="24">
        <f>N63/100000</f>
        <v>94.08</v>
      </c>
      <c r="O64" s="24">
        <f t="shared" ref="O64:AN64" si="112">O63/100000</f>
        <v>32.256</v>
      </c>
      <c r="P64" s="24">
        <f t="shared" si="112"/>
        <v>3.92</v>
      </c>
      <c r="Q64" s="24">
        <f t="shared" si="112"/>
        <v>105.36960000000001</v>
      </c>
      <c r="R64" s="24">
        <f t="shared" si="112"/>
        <v>36.126719999999999</v>
      </c>
      <c r="S64" s="24">
        <f t="shared" si="112"/>
        <v>4.3903999999999996</v>
      </c>
      <c r="T64" s="24">
        <f t="shared" si="112"/>
        <v>118.01395199999999</v>
      </c>
      <c r="U64" s="24">
        <f t="shared" si="112"/>
        <v>40.461926399999996</v>
      </c>
      <c r="V64" s="24">
        <f t="shared" si="112"/>
        <v>4.9172479999999998</v>
      </c>
      <c r="W64" s="24">
        <f t="shared" si="112"/>
        <v>132.17562623999999</v>
      </c>
      <c r="X64" s="24">
        <f t="shared" si="112"/>
        <v>45.317357567999998</v>
      </c>
      <c r="Y64" s="24">
        <f t="shared" si="112"/>
        <v>5.5073177599999994</v>
      </c>
      <c r="Z64" s="24">
        <f t="shared" si="112"/>
        <v>148.03670138879997</v>
      </c>
      <c r="AA64" s="24">
        <f t="shared" si="112"/>
        <v>50.755440476159997</v>
      </c>
      <c r="AB64" s="24">
        <f t="shared" si="112"/>
        <v>6.1681958911999999</v>
      </c>
      <c r="AC64" s="24">
        <f t="shared" si="112"/>
        <v>165.80110555545599</v>
      </c>
      <c r="AD64" s="24">
        <f t="shared" si="112"/>
        <v>56.846093333299194</v>
      </c>
      <c r="AE64" s="24">
        <f t="shared" si="112"/>
        <v>6.9083793981440005</v>
      </c>
      <c r="AF64" s="24">
        <f t="shared" si="112"/>
        <v>185.69723822211071</v>
      </c>
      <c r="AG64" s="24">
        <f t="shared" si="112"/>
        <v>63.667624533295104</v>
      </c>
      <c r="AH64" s="24">
        <f t="shared" si="112"/>
        <v>7.7373849259212797</v>
      </c>
      <c r="AI64" s="24">
        <f t="shared" si="112"/>
        <v>207.98090680876396</v>
      </c>
      <c r="AJ64" s="24">
        <f t="shared" si="112"/>
        <v>71.307739477290511</v>
      </c>
      <c r="AK64" s="24">
        <f t="shared" si="112"/>
        <v>8.6658711170318341</v>
      </c>
      <c r="AL64" s="24">
        <f t="shared" si="112"/>
        <v>232.93861562581566</v>
      </c>
      <c r="AM64" s="24">
        <f t="shared" si="112"/>
        <v>79.86466821456537</v>
      </c>
      <c r="AN64" s="24">
        <f t="shared" si="112"/>
        <v>9.7057756510756548</v>
      </c>
    </row>
    <row r="65" spans="3:40" ht="16.8" thickTop="1" thickBot="1" x14ac:dyDescent="0.35">
      <c r="C65" s="2"/>
      <c r="D65" s="2"/>
      <c r="E65" s="2"/>
      <c r="F65" s="2"/>
      <c r="G65" s="2"/>
      <c r="H65" s="2"/>
      <c r="I65" s="2"/>
      <c r="J65" s="2"/>
      <c r="K65" s="2"/>
      <c r="M65" s="9" t="s">
        <v>73</v>
      </c>
      <c r="N65" s="24">
        <f>N64/10</f>
        <v>9.4079999999999995</v>
      </c>
      <c r="O65" s="24">
        <f t="shared" ref="O65:AN65" si="113">O64/10</f>
        <v>3.2256</v>
      </c>
      <c r="P65" s="24">
        <f t="shared" si="113"/>
        <v>0.39200000000000002</v>
      </c>
      <c r="Q65" s="24">
        <f t="shared" si="113"/>
        <v>10.536960000000001</v>
      </c>
      <c r="R65" s="24">
        <f t="shared" si="113"/>
        <v>3.6126719999999999</v>
      </c>
      <c r="S65" s="24">
        <f t="shared" si="113"/>
        <v>0.43903999999999999</v>
      </c>
      <c r="T65" s="24">
        <f t="shared" si="113"/>
        <v>11.801395199999998</v>
      </c>
      <c r="U65" s="45">
        <f t="shared" si="113"/>
        <v>4.0461926399999992</v>
      </c>
      <c r="V65" s="24">
        <f t="shared" si="113"/>
        <v>0.49172479999999996</v>
      </c>
      <c r="W65" s="24">
        <f t="shared" si="113"/>
        <v>13.217562623999999</v>
      </c>
      <c r="X65" s="24">
        <f t="shared" si="113"/>
        <v>4.5317357567999998</v>
      </c>
      <c r="Y65" s="24">
        <f t="shared" si="113"/>
        <v>0.5507317759999999</v>
      </c>
      <c r="Z65" s="24">
        <f t="shared" si="113"/>
        <v>14.803670138879998</v>
      </c>
      <c r="AA65" s="24">
        <f t="shared" si="113"/>
        <v>5.0755440476159999</v>
      </c>
      <c r="AB65" s="24">
        <f t="shared" si="113"/>
        <v>0.61681958912000001</v>
      </c>
      <c r="AC65" s="24">
        <f t="shared" si="113"/>
        <v>16.580110555545598</v>
      </c>
      <c r="AD65" s="24">
        <f t="shared" si="113"/>
        <v>5.6846093333299192</v>
      </c>
      <c r="AE65" s="24">
        <f t="shared" si="113"/>
        <v>0.6908379398144</v>
      </c>
      <c r="AF65" s="24">
        <f t="shared" si="113"/>
        <v>18.569723822211071</v>
      </c>
      <c r="AG65" s="24">
        <f t="shared" si="113"/>
        <v>6.3667624533295104</v>
      </c>
      <c r="AH65" s="24">
        <f t="shared" si="113"/>
        <v>0.77373849259212801</v>
      </c>
      <c r="AI65" s="24">
        <f t="shared" si="113"/>
        <v>20.798090680876395</v>
      </c>
      <c r="AJ65" s="24">
        <f t="shared" si="113"/>
        <v>7.1307739477290513</v>
      </c>
      <c r="AK65" s="24">
        <f t="shared" si="113"/>
        <v>0.86658711170318337</v>
      </c>
      <c r="AL65" s="24">
        <f t="shared" si="113"/>
        <v>23.293861562581565</v>
      </c>
      <c r="AM65" s="24">
        <f t="shared" si="113"/>
        <v>7.9864668214565366</v>
      </c>
      <c r="AN65" s="24">
        <f t="shared" si="113"/>
        <v>0.97057756510756543</v>
      </c>
    </row>
    <row r="66" spans="3:40" ht="15" thickTop="1" x14ac:dyDescent="0.3"/>
    <row r="68" spans="3:40" x14ac:dyDescent="0.3">
      <c r="C68" s="104" t="s">
        <v>75</v>
      </c>
      <c r="D68" s="105"/>
      <c r="E68" s="105"/>
      <c r="F68" s="105"/>
      <c r="G68" s="105"/>
    </row>
    <row r="70" spans="3:40" ht="15" thickBot="1" x14ac:dyDescent="0.35">
      <c r="C70" s="13" t="s">
        <v>29</v>
      </c>
      <c r="D70" s="1"/>
      <c r="E70" s="1"/>
      <c r="F70" s="1"/>
      <c r="G70" s="1"/>
      <c r="H70" s="1"/>
      <c r="I70" s="1"/>
      <c r="J70" s="1"/>
      <c r="K70" s="1"/>
      <c r="M70" t="s">
        <v>72</v>
      </c>
    </row>
    <row r="71" spans="3:40" ht="19.2" thickTop="1" thickBot="1" x14ac:dyDescent="0.4">
      <c r="C71" s="4" t="s">
        <v>18</v>
      </c>
      <c r="D71" s="4" t="s">
        <v>30</v>
      </c>
      <c r="E71" s="4" t="s">
        <v>31</v>
      </c>
      <c r="F71" s="2"/>
      <c r="G71" s="4" t="s">
        <v>19</v>
      </c>
      <c r="H71" s="4"/>
      <c r="I71" s="4" t="s">
        <v>20</v>
      </c>
      <c r="J71" s="4"/>
      <c r="K71" s="4" t="s">
        <v>32</v>
      </c>
      <c r="M71" s="6" t="s">
        <v>28</v>
      </c>
      <c r="N71" s="103" t="s">
        <v>1</v>
      </c>
      <c r="O71" s="102"/>
      <c r="P71" s="102"/>
      <c r="Q71" s="102" t="s">
        <v>2</v>
      </c>
      <c r="R71" s="102"/>
      <c r="S71" s="102"/>
      <c r="T71" s="102" t="s">
        <v>3</v>
      </c>
      <c r="U71" s="102"/>
      <c r="V71" s="102"/>
      <c r="W71" s="102" t="s">
        <v>0</v>
      </c>
      <c r="X71" s="102"/>
      <c r="Y71" s="102"/>
      <c r="Z71" s="102" t="s">
        <v>4</v>
      </c>
      <c r="AA71" s="102"/>
      <c r="AB71" s="102"/>
      <c r="AC71" s="102" t="s">
        <v>5</v>
      </c>
      <c r="AD71" s="102"/>
      <c r="AE71" s="102"/>
      <c r="AF71" s="102" t="s">
        <v>6</v>
      </c>
      <c r="AG71" s="102"/>
      <c r="AH71" s="102"/>
      <c r="AI71" s="102" t="s">
        <v>7</v>
      </c>
      <c r="AJ71" s="102"/>
      <c r="AK71" s="102"/>
      <c r="AL71" s="102" t="s">
        <v>8</v>
      </c>
      <c r="AM71" s="102"/>
      <c r="AN71" s="102"/>
    </row>
    <row r="72" spans="3:40" ht="19.2" thickTop="1" thickBot="1" x14ac:dyDescent="0.4">
      <c r="C72" s="2"/>
      <c r="D72" s="2"/>
      <c r="E72" s="2"/>
      <c r="F72" s="2"/>
      <c r="G72" s="2"/>
      <c r="H72" s="2"/>
      <c r="I72" s="2"/>
      <c r="J72" s="2"/>
      <c r="K72" s="2"/>
      <c r="M72" s="17" t="s">
        <v>26</v>
      </c>
      <c r="N72" s="18" t="s">
        <v>10</v>
      </c>
      <c r="O72" s="16" t="s">
        <v>11</v>
      </c>
      <c r="P72" s="16" t="s">
        <v>20</v>
      </c>
      <c r="Q72" s="16" t="s">
        <v>10</v>
      </c>
      <c r="R72" s="16" t="s">
        <v>11</v>
      </c>
      <c r="S72" s="16" t="s">
        <v>20</v>
      </c>
      <c r="T72" s="16" t="s">
        <v>10</v>
      </c>
      <c r="U72" s="16" t="s">
        <v>11</v>
      </c>
      <c r="V72" s="16" t="s">
        <v>20</v>
      </c>
      <c r="W72" s="16" t="s">
        <v>10</v>
      </c>
      <c r="X72" s="16" t="s">
        <v>11</v>
      </c>
      <c r="Y72" s="16" t="s">
        <v>20</v>
      </c>
      <c r="Z72" s="16" t="s">
        <v>10</v>
      </c>
      <c r="AA72" s="16" t="s">
        <v>11</v>
      </c>
      <c r="AB72" s="16" t="s">
        <v>20</v>
      </c>
      <c r="AC72" s="16" t="s">
        <v>10</v>
      </c>
      <c r="AD72" s="16" t="s">
        <v>11</v>
      </c>
      <c r="AE72" s="16" t="s">
        <v>20</v>
      </c>
      <c r="AF72" s="16" t="s">
        <v>10</v>
      </c>
      <c r="AG72" s="16" t="s">
        <v>11</v>
      </c>
      <c r="AH72" s="16" t="s">
        <v>20</v>
      </c>
      <c r="AI72" s="16" t="s">
        <v>10</v>
      </c>
      <c r="AJ72" s="16" t="s">
        <v>11</v>
      </c>
      <c r="AK72" s="16" t="s">
        <v>20</v>
      </c>
      <c r="AL72" s="16" t="s">
        <v>10</v>
      </c>
      <c r="AM72" s="16" t="s">
        <v>11</v>
      </c>
      <c r="AN72" s="16" t="s">
        <v>20</v>
      </c>
    </row>
    <row r="73" spans="3:40" ht="15.6" thickTop="1" thickBot="1" x14ac:dyDescent="0.35">
      <c r="C73" s="2" t="s">
        <v>13</v>
      </c>
      <c r="D73" s="2">
        <v>5</v>
      </c>
      <c r="E73" s="2">
        <v>5000000</v>
      </c>
      <c r="F73" s="2"/>
      <c r="G73" s="2">
        <f>E73*38%</f>
        <v>1900000</v>
      </c>
      <c r="H73" s="2"/>
      <c r="I73" s="2">
        <v>100000</v>
      </c>
      <c r="J73" s="2"/>
      <c r="K73" s="2">
        <f>G73-I73</f>
        <v>1800000</v>
      </c>
      <c r="M73" s="2" t="s">
        <v>22</v>
      </c>
      <c r="N73" s="2">
        <f>E73+7%*E73</f>
        <v>5350000</v>
      </c>
      <c r="O73" s="2">
        <f>G73+7%*G73</f>
        <v>2033000</v>
      </c>
      <c r="P73" s="2">
        <f>I73+7%*I73</f>
        <v>107000</v>
      </c>
      <c r="Q73" s="2">
        <f t="shared" ref="Q73:AN73" si="114">N73+7%*N73</f>
        <v>5724500</v>
      </c>
      <c r="R73" s="2">
        <f t="shared" si="114"/>
        <v>2175310</v>
      </c>
      <c r="S73" s="2">
        <f t="shared" si="114"/>
        <v>114490</v>
      </c>
      <c r="T73" s="2">
        <f t="shared" si="114"/>
        <v>6125215</v>
      </c>
      <c r="U73" s="11">
        <f t="shared" si="114"/>
        <v>2327581.7000000002</v>
      </c>
      <c r="V73" s="11">
        <f t="shared" si="114"/>
        <v>122504.3</v>
      </c>
      <c r="W73" s="11">
        <f t="shared" si="114"/>
        <v>6553980.0499999998</v>
      </c>
      <c r="X73" s="11">
        <f t="shared" si="114"/>
        <v>2490512.4190000002</v>
      </c>
      <c r="Y73" s="11">
        <f t="shared" si="114"/>
        <v>131079.601</v>
      </c>
      <c r="Z73" s="11">
        <f t="shared" si="114"/>
        <v>7012758.6535</v>
      </c>
      <c r="AA73" s="11">
        <f t="shared" si="114"/>
        <v>2664848.2883300004</v>
      </c>
      <c r="AB73" s="11">
        <f t="shared" si="114"/>
        <v>140255.17306999999</v>
      </c>
      <c r="AC73" s="11">
        <f t="shared" si="114"/>
        <v>7503651.7592449998</v>
      </c>
      <c r="AD73" s="11">
        <f t="shared" si="114"/>
        <v>2851387.6685131006</v>
      </c>
      <c r="AE73" s="11">
        <f t="shared" si="114"/>
        <v>150073.03518489999</v>
      </c>
      <c r="AF73" s="11">
        <f t="shared" si="114"/>
        <v>8028907.3823921494</v>
      </c>
      <c r="AG73" s="11">
        <f t="shared" si="114"/>
        <v>3050984.8053090177</v>
      </c>
      <c r="AH73" s="11">
        <f t="shared" si="114"/>
        <v>160578.147647843</v>
      </c>
      <c r="AI73" s="11">
        <f t="shared" si="114"/>
        <v>8590930.8991595991</v>
      </c>
      <c r="AJ73" s="11">
        <f t="shared" si="114"/>
        <v>3264553.7416806491</v>
      </c>
      <c r="AK73" s="11">
        <f t="shared" si="114"/>
        <v>171818.617983192</v>
      </c>
      <c r="AL73" s="11">
        <f t="shared" si="114"/>
        <v>9192296.0621007718</v>
      </c>
      <c r="AM73" s="11">
        <f t="shared" si="114"/>
        <v>3493072.5035982947</v>
      </c>
      <c r="AN73" s="11">
        <f t="shared" si="114"/>
        <v>183845.92124201544</v>
      </c>
    </row>
    <row r="74" spans="3:40" ht="15.6" thickTop="1" thickBot="1" x14ac:dyDescent="0.35">
      <c r="C74" s="2" t="s">
        <v>14</v>
      </c>
      <c r="D74" s="2">
        <v>1</v>
      </c>
      <c r="E74" s="2">
        <v>1000000</v>
      </c>
      <c r="F74" s="2"/>
      <c r="G74" s="2">
        <f>E74*30%</f>
        <v>300000</v>
      </c>
      <c r="H74" s="2"/>
      <c r="I74" s="2">
        <v>50000</v>
      </c>
      <c r="J74" s="2"/>
      <c r="K74" s="2">
        <f>G74-I74</f>
        <v>250000</v>
      </c>
      <c r="M74" s="2" t="s">
        <v>23</v>
      </c>
      <c r="N74" s="2">
        <f t="shared" ref="N74:N76" si="115">E74+7%*E74</f>
        <v>1070000</v>
      </c>
      <c r="O74" s="2">
        <f t="shared" ref="O74:O76" si="116">G74+7%*G74</f>
        <v>321000</v>
      </c>
      <c r="P74" s="2">
        <f t="shared" ref="P74:P76" si="117">I74+7%*I74</f>
        <v>53500</v>
      </c>
      <c r="Q74" s="2">
        <f t="shared" ref="Q74:Q76" si="118">N74+7%*N74</f>
        <v>1144900</v>
      </c>
      <c r="R74" s="2">
        <f t="shared" ref="R74:R76" si="119">O74+7%*O74</f>
        <v>343470</v>
      </c>
      <c r="S74" s="2">
        <f t="shared" ref="S74:S76" si="120">P74+7%*P74</f>
        <v>57245</v>
      </c>
      <c r="T74" s="2">
        <f t="shared" ref="T74:T76" si="121">Q74+7%*Q74</f>
        <v>1225043</v>
      </c>
      <c r="U74" s="11">
        <f t="shared" ref="U74:U76" si="122">R74+7%*R74</f>
        <v>367512.9</v>
      </c>
      <c r="V74" s="11">
        <f t="shared" ref="V74:V76" si="123">S74+7%*S74</f>
        <v>61252.15</v>
      </c>
      <c r="W74" s="11">
        <f t="shared" ref="W74:W76" si="124">T74+7%*T74</f>
        <v>1310796.01</v>
      </c>
      <c r="X74" s="11">
        <f t="shared" ref="X74:X76" si="125">U74+7%*U74</f>
        <v>393238.80300000001</v>
      </c>
      <c r="Y74" s="11">
        <f t="shared" ref="Y74:Y76" si="126">V74+7%*V74</f>
        <v>65539.800499999998</v>
      </c>
      <c r="Z74" s="11">
        <f t="shared" ref="Z74:Z76" si="127">W74+7%*W74</f>
        <v>1402551.7307</v>
      </c>
      <c r="AA74" s="11">
        <f t="shared" ref="AA74:AA76" si="128">X74+7%*X74</f>
        <v>420765.51921</v>
      </c>
      <c r="AB74" s="11">
        <f t="shared" ref="AB74:AB76" si="129">Y74+7%*Y74</f>
        <v>70127.586534999995</v>
      </c>
      <c r="AC74" s="11">
        <f t="shared" ref="AC74:AC76" si="130">Z74+7%*Z74</f>
        <v>1500730.351849</v>
      </c>
      <c r="AD74" s="11">
        <f t="shared" ref="AD74:AD76" si="131">AA74+7%*AA74</f>
        <v>450219.10555470001</v>
      </c>
      <c r="AE74" s="11">
        <f t="shared" ref="AE74:AE76" si="132">AB74+7%*AB74</f>
        <v>75036.517592449993</v>
      </c>
      <c r="AF74" s="11">
        <f t="shared" ref="AF74:AF76" si="133">AC74+7%*AC74</f>
        <v>1605781.47647843</v>
      </c>
      <c r="AG74" s="11">
        <f t="shared" ref="AG74:AG76" si="134">AD74+7%*AD74</f>
        <v>481734.44294352899</v>
      </c>
      <c r="AH74" s="11">
        <f t="shared" ref="AH74:AH76" si="135">AE74+7%*AE74</f>
        <v>80289.073823921499</v>
      </c>
      <c r="AI74" s="11">
        <f t="shared" ref="AI74:AI76" si="136">AF74+7%*AF74</f>
        <v>1718186.1798319202</v>
      </c>
      <c r="AJ74" s="11">
        <f t="shared" ref="AJ74:AJ76" si="137">AG74+7%*AG74</f>
        <v>515455.85394957603</v>
      </c>
      <c r="AK74" s="11">
        <f t="shared" ref="AK74:AK76" si="138">AH74+7%*AH74</f>
        <v>85909.308991596001</v>
      </c>
      <c r="AL74" s="11">
        <f t="shared" ref="AL74:AL76" si="139">AI74+7%*AI74</f>
        <v>1838459.2124201546</v>
      </c>
      <c r="AM74" s="11">
        <f t="shared" ref="AM74:AM76" si="140">AJ74+7%*AJ74</f>
        <v>551537.76372604631</v>
      </c>
      <c r="AN74" s="11">
        <f t="shared" ref="AN74:AN76" si="141">AK74+7%*AK74</f>
        <v>91922.960621007718</v>
      </c>
    </row>
    <row r="75" spans="3:40" ht="15.6" thickTop="1" thickBot="1" x14ac:dyDescent="0.35">
      <c r="C75" s="2" t="s">
        <v>15</v>
      </c>
      <c r="D75" s="2">
        <v>1.4</v>
      </c>
      <c r="E75" s="2">
        <v>1400000</v>
      </c>
      <c r="F75" s="2"/>
      <c r="G75" s="2">
        <f>E75*20%</f>
        <v>280000</v>
      </c>
      <c r="H75" s="2"/>
      <c r="I75" s="2">
        <v>100000</v>
      </c>
      <c r="J75" s="2"/>
      <c r="K75" s="2">
        <f>G75-I75</f>
        <v>180000</v>
      </c>
      <c r="M75" s="2" t="s">
        <v>9</v>
      </c>
      <c r="N75" s="2">
        <f t="shared" si="115"/>
        <v>1498000</v>
      </c>
      <c r="O75" s="2">
        <f t="shared" si="116"/>
        <v>299600</v>
      </c>
      <c r="P75" s="2">
        <f t="shared" si="117"/>
        <v>107000</v>
      </c>
      <c r="Q75" s="2">
        <f t="shared" si="118"/>
        <v>1602860</v>
      </c>
      <c r="R75" s="2">
        <f t="shared" si="119"/>
        <v>320572</v>
      </c>
      <c r="S75" s="2">
        <f t="shared" si="120"/>
        <v>114490</v>
      </c>
      <c r="T75" s="11">
        <f t="shared" si="121"/>
        <v>1715060.2</v>
      </c>
      <c r="U75" s="11">
        <f t="shared" si="122"/>
        <v>343012.04</v>
      </c>
      <c r="V75" s="11">
        <f t="shared" si="123"/>
        <v>122504.3</v>
      </c>
      <c r="W75" s="11">
        <f t="shared" si="124"/>
        <v>1835114.4139999999</v>
      </c>
      <c r="X75" s="11">
        <f t="shared" si="125"/>
        <v>367022.88279999996</v>
      </c>
      <c r="Y75" s="11">
        <f t="shared" si="126"/>
        <v>131079.601</v>
      </c>
      <c r="Z75" s="11">
        <f t="shared" si="127"/>
        <v>1963572.4229799998</v>
      </c>
      <c r="AA75" s="11">
        <f t="shared" si="128"/>
        <v>392714.48459599994</v>
      </c>
      <c r="AB75" s="11">
        <f t="shared" si="129"/>
        <v>140255.17306999999</v>
      </c>
      <c r="AC75" s="11">
        <f t="shared" si="130"/>
        <v>2101022.4925885997</v>
      </c>
      <c r="AD75" s="11">
        <f t="shared" si="131"/>
        <v>420204.49851771991</v>
      </c>
      <c r="AE75" s="11">
        <f t="shared" si="132"/>
        <v>150073.03518489999</v>
      </c>
      <c r="AF75" s="11">
        <f t="shared" si="133"/>
        <v>2248094.0670698015</v>
      </c>
      <c r="AG75" s="11">
        <f t="shared" si="134"/>
        <v>449618.81341396034</v>
      </c>
      <c r="AH75" s="11">
        <f t="shared" si="135"/>
        <v>160578.147647843</v>
      </c>
      <c r="AI75" s="11">
        <f t="shared" si="136"/>
        <v>2405460.6517646876</v>
      </c>
      <c r="AJ75" s="11">
        <f t="shared" si="137"/>
        <v>481092.13035293756</v>
      </c>
      <c r="AK75" s="11">
        <f t="shared" si="138"/>
        <v>171818.617983192</v>
      </c>
      <c r="AL75" s="11">
        <f t="shared" si="139"/>
        <v>2573842.8973882156</v>
      </c>
      <c r="AM75" s="11">
        <f t="shared" si="140"/>
        <v>514768.57947764319</v>
      </c>
      <c r="AN75" s="11">
        <f t="shared" si="141"/>
        <v>183845.92124201544</v>
      </c>
    </row>
    <row r="76" spans="3:40" ht="15.6" thickTop="1" thickBot="1" x14ac:dyDescent="0.35">
      <c r="C76" s="2" t="s">
        <v>16</v>
      </c>
      <c r="D76" s="2">
        <v>1</v>
      </c>
      <c r="E76" s="2">
        <v>1000000</v>
      </c>
      <c r="F76" s="2"/>
      <c r="G76" s="2">
        <f>E76*40%</f>
        <v>400000</v>
      </c>
      <c r="H76" s="2"/>
      <c r="I76" s="2">
        <v>100000</v>
      </c>
      <c r="J76" s="2"/>
      <c r="K76" s="2">
        <f>G76-I76</f>
        <v>300000</v>
      </c>
      <c r="M76" s="2" t="s">
        <v>24</v>
      </c>
      <c r="N76" s="2">
        <f t="shared" si="115"/>
        <v>1070000</v>
      </c>
      <c r="O76" s="2">
        <f t="shared" si="116"/>
        <v>428000</v>
      </c>
      <c r="P76" s="2">
        <f t="shared" si="117"/>
        <v>107000</v>
      </c>
      <c r="Q76" s="2">
        <f t="shared" si="118"/>
        <v>1144900</v>
      </c>
      <c r="R76" s="2">
        <f t="shared" si="119"/>
        <v>457960</v>
      </c>
      <c r="S76" s="2">
        <f t="shared" si="120"/>
        <v>114490</v>
      </c>
      <c r="T76" s="2">
        <f t="shared" si="121"/>
        <v>1225043</v>
      </c>
      <c r="U76" s="11">
        <f t="shared" si="122"/>
        <v>490017.2</v>
      </c>
      <c r="V76" s="11">
        <f t="shared" si="123"/>
        <v>122504.3</v>
      </c>
      <c r="W76" s="11">
        <f t="shared" si="124"/>
        <v>1310796.01</v>
      </c>
      <c r="X76" s="11">
        <f t="shared" si="125"/>
        <v>524318.40399999998</v>
      </c>
      <c r="Y76" s="11">
        <f t="shared" si="126"/>
        <v>131079.601</v>
      </c>
      <c r="Z76" s="11">
        <f t="shared" si="127"/>
        <v>1402551.7307</v>
      </c>
      <c r="AA76" s="11">
        <f t="shared" si="128"/>
        <v>561020.69227999996</v>
      </c>
      <c r="AB76" s="11">
        <f t="shared" si="129"/>
        <v>140255.17306999999</v>
      </c>
      <c r="AC76" s="11">
        <f t="shared" si="130"/>
        <v>1500730.351849</v>
      </c>
      <c r="AD76" s="11">
        <f t="shared" si="131"/>
        <v>600292.14073959994</v>
      </c>
      <c r="AE76" s="11">
        <f t="shared" si="132"/>
        <v>150073.03518489999</v>
      </c>
      <c r="AF76" s="11">
        <f t="shared" si="133"/>
        <v>1605781.47647843</v>
      </c>
      <c r="AG76" s="11">
        <f t="shared" si="134"/>
        <v>642312.59059137199</v>
      </c>
      <c r="AH76" s="11">
        <f t="shared" si="135"/>
        <v>160578.147647843</v>
      </c>
      <c r="AI76" s="11">
        <f t="shared" si="136"/>
        <v>1718186.1798319202</v>
      </c>
      <c r="AJ76" s="11">
        <f t="shared" si="137"/>
        <v>687274.47193276801</v>
      </c>
      <c r="AK76" s="11">
        <f t="shared" si="138"/>
        <v>171818.617983192</v>
      </c>
      <c r="AL76" s="11">
        <f t="shared" si="139"/>
        <v>1838459.2124201546</v>
      </c>
      <c r="AM76" s="11">
        <f t="shared" si="140"/>
        <v>735383.68496806175</v>
      </c>
      <c r="AN76" s="11">
        <f t="shared" si="141"/>
        <v>183845.92124201544</v>
      </c>
    </row>
    <row r="77" spans="3:40" ht="16.8" thickTop="1" thickBot="1" x14ac:dyDescent="0.35">
      <c r="C77" s="2"/>
      <c r="D77" s="2"/>
      <c r="E77" s="2"/>
      <c r="F77" s="2"/>
      <c r="G77" s="2"/>
      <c r="H77" s="2"/>
      <c r="I77" s="2"/>
      <c r="J77" s="2"/>
      <c r="K77" s="2"/>
      <c r="M77" s="9" t="s">
        <v>27</v>
      </c>
      <c r="N77" s="9">
        <f t="shared" ref="N77:Y77" si="142">SUM(N73:N76)</f>
        <v>8988000</v>
      </c>
      <c r="O77" s="9">
        <f t="shared" si="142"/>
        <v>3081600</v>
      </c>
      <c r="P77" s="9">
        <f t="shared" si="142"/>
        <v>374500</v>
      </c>
      <c r="Q77" s="9">
        <f t="shared" si="142"/>
        <v>9617160</v>
      </c>
      <c r="R77" s="9">
        <f t="shared" si="142"/>
        <v>3297312</v>
      </c>
      <c r="S77" s="9">
        <f t="shared" si="142"/>
        <v>400715</v>
      </c>
      <c r="T77" s="9">
        <f t="shared" si="142"/>
        <v>10290361.199999999</v>
      </c>
      <c r="U77" s="12">
        <f t="shared" si="142"/>
        <v>3528123.8400000003</v>
      </c>
      <c r="V77" s="9">
        <f t="shared" si="142"/>
        <v>428765.05</v>
      </c>
      <c r="W77" s="12">
        <f t="shared" si="142"/>
        <v>11010686.483999999</v>
      </c>
      <c r="X77" s="12">
        <f t="shared" si="142"/>
        <v>3775092.5088</v>
      </c>
      <c r="Y77" s="9">
        <f t="shared" si="142"/>
        <v>458778.60349999997</v>
      </c>
      <c r="Z77" s="12">
        <f t="shared" ref="Z77:AN77" si="143">SUM(Z73:Z76)</f>
        <v>11781434.537879998</v>
      </c>
      <c r="AA77" s="12">
        <f t="shared" si="143"/>
        <v>4039348.9844160005</v>
      </c>
      <c r="AB77" s="9">
        <f t="shared" si="143"/>
        <v>490893.10574499995</v>
      </c>
      <c r="AC77" s="12">
        <f t="shared" si="143"/>
        <v>12606134.955531601</v>
      </c>
      <c r="AD77" s="12">
        <f t="shared" si="143"/>
        <v>4322103.4133251207</v>
      </c>
      <c r="AE77" s="12">
        <f t="shared" si="143"/>
        <v>525255.62314715004</v>
      </c>
      <c r="AF77" s="12">
        <f t="shared" si="143"/>
        <v>13488564.402418809</v>
      </c>
      <c r="AG77" s="12">
        <f t="shared" si="143"/>
        <v>4624650.6522578783</v>
      </c>
      <c r="AH77" s="12">
        <f t="shared" si="143"/>
        <v>562023.51676745049</v>
      </c>
      <c r="AI77" s="12">
        <f t="shared" si="143"/>
        <v>14432763.910588127</v>
      </c>
      <c r="AJ77" s="12">
        <f t="shared" si="143"/>
        <v>4948376.1979159303</v>
      </c>
      <c r="AK77" s="12">
        <f t="shared" si="143"/>
        <v>601365.16294117202</v>
      </c>
      <c r="AL77" s="12">
        <f t="shared" si="143"/>
        <v>15443057.384329297</v>
      </c>
      <c r="AM77" s="9">
        <f t="shared" si="143"/>
        <v>5294762.5317700459</v>
      </c>
      <c r="AN77" s="12">
        <f t="shared" si="143"/>
        <v>643460.72434705403</v>
      </c>
    </row>
    <row r="78" spans="3:40" ht="16.8" thickTop="1" thickBot="1" x14ac:dyDescent="0.35">
      <c r="C78" s="9" t="s">
        <v>27</v>
      </c>
      <c r="D78" s="9">
        <f>SUM(D73:D76)</f>
        <v>8.4</v>
      </c>
      <c r="E78" s="9">
        <f>SUM(E73:E76)</f>
        <v>8400000</v>
      </c>
      <c r="F78" s="9"/>
      <c r="G78" s="9">
        <f>SUM(G73:G76)</f>
        <v>2880000</v>
      </c>
      <c r="H78" s="9"/>
      <c r="I78" s="9">
        <f>SUM(I73:I76)</f>
        <v>350000</v>
      </c>
      <c r="J78" s="9"/>
      <c r="K78" s="9">
        <f>G78-I78</f>
        <v>2530000</v>
      </c>
      <c r="M78" s="9" t="s">
        <v>44</v>
      </c>
      <c r="N78" s="24">
        <f>N77/100000</f>
        <v>89.88</v>
      </c>
      <c r="O78" s="24">
        <f t="shared" ref="O78:AN78" si="144">O77/100000</f>
        <v>30.815999999999999</v>
      </c>
      <c r="P78" s="24">
        <f t="shared" si="144"/>
        <v>3.7450000000000001</v>
      </c>
      <c r="Q78" s="24">
        <f t="shared" si="144"/>
        <v>96.171599999999998</v>
      </c>
      <c r="R78" s="24">
        <f t="shared" si="144"/>
        <v>32.973120000000002</v>
      </c>
      <c r="S78" s="24">
        <f t="shared" si="144"/>
        <v>4.0071500000000002</v>
      </c>
      <c r="T78" s="24">
        <f t="shared" si="144"/>
        <v>102.903612</v>
      </c>
      <c r="U78" s="24">
        <f t="shared" si="144"/>
        <v>35.281238400000007</v>
      </c>
      <c r="V78" s="24">
        <f t="shared" si="144"/>
        <v>4.2876504999999998</v>
      </c>
      <c r="W78" s="24">
        <f t="shared" si="144"/>
        <v>110.10686483999999</v>
      </c>
      <c r="X78" s="24">
        <f t="shared" si="144"/>
        <v>37.750925088000002</v>
      </c>
      <c r="Y78" s="24">
        <f t="shared" si="144"/>
        <v>4.5877860349999997</v>
      </c>
      <c r="Z78" s="24">
        <f t="shared" si="144"/>
        <v>117.81434537879998</v>
      </c>
      <c r="AA78" s="24">
        <f t="shared" si="144"/>
        <v>40.393489844160008</v>
      </c>
      <c r="AB78" s="24">
        <f t="shared" si="144"/>
        <v>4.9089310574499994</v>
      </c>
      <c r="AC78" s="24">
        <f t="shared" si="144"/>
        <v>126.06134955531601</v>
      </c>
      <c r="AD78" s="24">
        <f t="shared" si="144"/>
        <v>43.221034133251209</v>
      </c>
      <c r="AE78" s="24">
        <f t="shared" si="144"/>
        <v>5.2525562314715</v>
      </c>
      <c r="AF78" s="24">
        <f t="shared" si="144"/>
        <v>134.88564402418808</v>
      </c>
      <c r="AG78" s="24">
        <f t="shared" si="144"/>
        <v>46.246506522578784</v>
      </c>
      <c r="AH78" s="24">
        <f t="shared" si="144"/>
        <v>5.6202351676745046</v>
      </c>
      <c r="AI78" s="24">
        <f t="shared" si="144"/>
        <v>144.32763910588127</v>
      </c>
      <c r="AJ78" s="24">
        <f t="shared" si="144"/>
        <v>49.483761979159304</v>
      </c>
      <c r="AK78" s="24">
        <f t="shared" si="144"/>
        <v>6.0136516294117204</v>
      </c>
      <c r="AL78" s="24">
        <f t="shared" si="144"/>
        <v>154.43057384329296</v>
      </c>
      <c r="AM78" s="24">
        <f t="shared" si="144"/>
        <v>52.947625317700457</v>
      </c>
      <c r="AN78" s="24">
        <f t="shared" si="144"/>
        <v>6.4346072434705404</v>
      </c>
    </row>
    <row r="79" spans="3:40" ht="16.8" thickTop="1" thickBot="1" x14ac:dyDescent="0.35">
      <c r="C79" s="2"/>
      <c r="D79" s="2"/>
      <c r="E79" s="2"/>
      <c r="F79" s="2"/>
      <c r="G79" s="2"/>
      <c r="H79" s="2"/>
      <c r="I79" s="2"/>
      <c r="J79" s="2"/>
      <c r="K79" s="2"/>
      <c r="M79" s="9" t="s">
        <v>73</v>
      </c>
      <c r="N79" s="42">
        <f>N78/10</f>
        <v>8.9879999999999995</v>
      </c>
      <c r="O79" s="42">
        <f t="shared" ref="O79:AN79" si="145">O78/10</f>
        <v>3.0815999999999999</v>
      </c>
      <c r="P79" s="42">
        <f t="shared" si="145"/>
        <v>0.3745</v>
      </c>
      <c r="Q79" s="42">
        <f t="shared" si="145"/>
        <v>9.6171600000000002</v>
      </c>
      <c r="R79" s="42">
        <f t="shared" si="145"/>
        <v>3.2973120000000002</v>
      </c>
      <c r="S79" s="42">
        <f t="shared" si="145"/>
        <v>0.40071500000000004</v>
      </c>
      <c r="T79" s="42">
        <f t="shared" si="145"/>
        <v>10.2903612</v>
      </c>
      <c r="U79" s="42">
        <f t="shared" si="145"/>
        <v>3.5281238400000006</v>
      </c>
      <c r="V79" s="42">
        <f t="shared" si="145"/>
        <v>0.42876504999999998</v>
      </c>
      <c r="W79" s="42">
        <f t="shared" si="145"/>
        <v>11.010686483999999</v>
      </c>
      <c r="X79" s="44">
        <f t="shared" si="145"/>
        <v>3.7750925088000002</v>
      </c>
      <c r="Y79" s="42">
        <f t="shared" si="145"/>
        <v>0.45877860349999999</v>
      </c>
      <c r="Z79" s="42">
        <f t="shared" si="145"/>
        <v>11.781434537879999</v>
      </c>
      <c r="AA79" s="42">
        <f t="shared" si="145"/>
        <v>4.0393489844160007</v>
      </c>
      <c r="AB79" s="42">
        <f t="shared" si="145"/>
        <v>0.49089310574499995</v>
      </c>
      <c r="AC79" s="42">
        <f t="shared" si="145"/>
        <v>12.606134955531601</v>
      </c>
      <c r="AD79" s="42">
        <f t="shared" si="145"/>
        <v>4.322103413325121</v>
      </c>
      <c r="AE79" s="42">
        <f t="shared" si="145"/>
        <v>0.52525562314715002</v>
      </c>
      <c r="AF79" s="42">
        <f t="shared" si="145"/>
        <v>13.488564402418808</v>
      </c>
      <c r="AG79" s="42">
        <f t="shared" si="145"/>
        <v>4.6246506522578787</v>
      </c>
      <c r="AH79" s="42">
        <f t="shared" si="145"/>
        <v>0.56202351676745044</v>
      </c>
      <c r="AI79" s="42">
        <f t="shared" si="145"/>
        <v>14.432763910588127</v>
      </c>
      <c r="AJ79" s="42">
        <f t="shared" si="145"/>
        <v>4.9483761979159304</v>
      </c>
      <c r="AK79" s="42">
        <f t="shared" si="145"/>
        <v>0.60136516294117204</v>
      </c>
      <c r="AL79" s="42">
        <f t="shared" si="145"/>
        <v>15.443057384329297</v>
      </c>
      <c r="AM79" s="42">
        <f t="shared" si="145"/>
        <v>5.2947625317700453</v>
      </c>
      <c r="AN79" s="42">
        <f t="shared" si="145"/>
        <v>0.64346072434705404</v>
      </c>
    </row>
    <row r="80" spans="3:40" ht="15" thickTop="1" x14ac:dyDescent="0.3"/>
    <row r="84" spans="14:25" x14ac:dyDescent="0.3">
      <c r="N84" t="s">
        <v>126</v>
      </c>
      <c r="O84" t="s">
        <v>127</v>
      </c>
      <c r="R84" t="s">
        <v>170</v>
      </c>
      <c r="V84" t="s">
        <v>171</v>
      </c>
    </row>
    <row r="85" spans="14:25" x14ac:dyDescent="0.3">
      <c r="N85">
        <v>0.08</v>
      </c>
      <c r="O85">
        <f>N85+N85*25%</f>
        <v>0.1</v>
      </c>
      <c r="P85">
        <f>O85+O85*25%</f>
        <v>0.125</v>
      </c>
      <c r="Q85">
        <f t="shared" ref="Q85:Y85" si="146">P85+P85*25%</f>
        <v>0.15625</v>
      </c>
      <c r="R85">
        <f t="shared" si="146"/>
        <v>0.1953125</v>
      </c>
      <c r="S85">
        <f t="shared" si="146"/>
        <v>0.244140625</v>
      </c>
      <c r="T85">
        <f t="shared" si="146"/>
        <v>0.30517578125</v>
      </c>
      <c r="U85">
        <f t="shared" si="146"/>
        <v>0.3814697265625</v>
      </c>
      <c r="V85">
        <f t="shared" si="146"/>
        <v>0.476837158203125</v>
      </c>
      <c r="W85">
        <f t="shared" si="146"/>
        <v>0.59604644775390625</v>
      </c>
      <c r="X85">
        <f t="shared" si="146"/>
        <v>0.74505805969238281</v>
      </c>
      <c r="Y85">
        <f t="shared" si="146"/>
        <v>0.93132257461547852</v>
      </c>
    </row>
  </sheetData>
  <mergeCells count="39">
    <mergeCell ref="N5:P5"/>
    <mergeCell ref="Q5:S5"/>
    <mergeCell ref="C45:F45"/>
    <mergeCell ref="Q31:S31"/>
    <mergeCell ref="C68:G68"/>
    <mergeCell ref="C54:G54"/>
    <mergeCell ref="N57:P57"/>
    <mergeCell ref="Q57:S57"/>
    <mergeCell ref="T71:V71"/>
    <mergeCell ref="W71:Y71"/>
    <mergeCell ref="N71:P71"/>
    <mergeCell ref="Q71:S71"/>
    <mergeCell ref="Z31:AB31"/>
    <mergeCell ref="AC31:AE31"/>
    <mergeCell ref="AF31:AH31"/>
    <mergeCell ref="AI31:AK31"/>
    <mergeCell ref="T31:V31"/>
    <mergeCell ref="W31:Y31"/>
    <mergeCell ref="Z5:AB5"/>
    <mergeCell ref="AC5:AE5"/>
    <mergeCell ref="AF5:AH5"/>
    <mergeCell ref="AI5:AK5"/>
    <mergeCell ref="AL5:AN5"/>
    <mergeCell ref="T5:V5"/>
    <mergeCell ref="W5:Y5"/>
    <mergeCell ref="N31:P31"/>
    <mergeCell ref="AL57:AN57"/>
    <mergeCell ref="AC71:AE71"/>
    <mergeCell ref="AF71:AH71"/>
    <mergeCell ref="AI71:AK71"/>
    <mergeCell ref="AL71:AN71"/>
    <mergeCell ref="Z71:AB71"/>
    <mergeCell ref="AF57:AH57"/>
    <mergeCell ref="AI57:AK57"/>
    <mergeCell ref="T57:V57"/>
    <mergeCell ref="W57:Y57"/>
    <mergeCell ref="Z57:AB57"/>
    <mergeCell ref="AC57:AE57"/>
    <mergeCell ref="AL31:AN31"/>
  </mergeCells>
  <phoneticPr fontId="7" type="noConversion"/>
  <pageMargins left="0.7" right="0.7" top="0.75" bottom="0.75" header="0.3" footer="0.3"/>
  <pageSetup orientation="portrait" horizontalDpi="1200" verticalDpi="120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31E6F-F15B-4280-A0C1-E41967D9F319}">
  <dimension ref="B2:AF36"/>
  <sheetViews>
    <sheetView topLeftCell="L1" workbookViewId="0">
      <selection activeCell="P21" sqref="P21"/>
    </sheetView>
  </sheetViews>
  <sheetFormatPr defaultRowHeight="14.4" x14ac:dyDescent="0.3"/>
  <cols>
    <col min="2" max="2" width="16.77734375" bestFit="1" customWidth="1"/>
    <col min="3" max="3" width="8.5546875" customWidth="1"/>
    <col min="4" max="4" width="9.44140625" bestFit="1" customWidth="1"/>
    <col min="5" max="5" width="16.109375" bestFit="1" customWidth="1"/>
    <col min="6" max="6" width="8.77734375" bestFit="1" customWidth="1"/>
    <col min="7" max="7" width="9.44140625" bestFit="1" customWidth="1"/>
    <col min="8" max="8" width="16.109375" bestFit="1" customWidth="1"/>
    <col min="9" max="9" width="10.109375" bestFit="1" customWidth="1"/>
    <col min="10" max="10" width="11.21875" customWidth="1"/>
    <col min="11" max="11" width="16.109375" bestFit="1" customWidth="1"/>
    <col min="13" max="13" width="9.44140625" bestFit="1" customWidth="1"/>
    <col min="14" max="14" width="16.109375" bestFit="1" customWidth="1"/>
    <col min="16" max="16" width="9.44140625" bestFit="1" customWidth="1"/>
    <col min="17" max="17" width="16.109375" bestFit="1" customWidth="1"/>
    <col min="19" max="19" width="9.44140625" bestFit="1" customWidth="1"/>
    <col min="20" max="20" width="16.109375" bestFit="1" customWidth="1"/>
    <col min="22" max="22" width="9.44140625" bestFit="1" customWidth="1"/>
    <col min="23" max="23" width="16.109375" bestFit="1" customWidth="1"/>
    <col min="25" max="25" width="9.44140625" bestFit="1" customWidth="1"/>
    <col min="26" max="26" width="16.109375" bestFit="1" customWidth="1"/>
    <col min="28" max="28" width="9.44140625" bestFit="1" customWidth="1"/>
    <col min="29" max="29" width="16.109375" bestFit="1" customWidth="1"/>
    <col min="30" max="30" width="10.21875" customWidth="1"/>
    <col min="31" max="31" width="11.21875" customWidth="1"/>
    <col min="32" max="32" width="16.6640625" bestFit="1" customWidth="1"/>
  </cols>
  <sheetData>
    <row r="2" spans="2:32" x14ac:dyDescent="0.3">
      <c r="B2" s="105" t="s">
        <v>92</v>
      </c>
      <c r="C2" s="105"/>
      <c r="D2" s="105"/>
      <c r="E2" s="105"/>
      <c r="F2" s="105"/>
    </row>
    <row r="4" spans="2:32" ht="15" thickBot="1" x14ac:dyDescent="0.35">
      <c r="B4" s="34"/>
    </row>
    <row r="5" spans="2:32" ht="15.6" thickTop="1" thickBot="1" x14ac:dyDescent="0.35">
      <c r="B5" s="46" t="s">
        <v>83</v>
      </c>
      <c r="C5" s="106" t="s">
        <v>76</v>
      </c>
      <c r="D5" s="107"/>
      <c r="E5" s="103"/>
      <c r="F5" s="102" t="s">
        <v>1</v>
      </c>
      <c r="G5" s="102"/>
      <c r="H5" s="102"/>
      <c r="I5" s="102" t="s">
        <v>2</v>
      </c>
      <c r="J5" s="102"/>
      <c r="K5" s="102"/>
      <c r="L5" s="102" t="s">
        <v>3</v>
      </c>
      <c r="M5" s="102"/>
      <c r="N5" s="102"/>
      <c r="O5" s="102" t="s">
        <v>0</v>
      </c>
      <c r="P5" s="102"/>
      <c r="Q5" s="102"/>
      <c r="R5" s="102" t="s">
        <v>4</v>
      </c>
      <c r="S5" s="102"/>
      <c r="T5" s="102"/>
      <c r="U5" s="102" t="s">
        <v>5</v>
      </c>
      <c r="V5" s="102"/>
      <c r="W5" s="102"/>
      <c r="X5" s="102" t="s">
        <v>6</v>
      </c>
      <c r="Y5" s="102"/>
      <c r="Z5" s="102"/>
      <c r="AA5" s="106" t="s">
        <v>7</v>
      </c>
      <c r="AB5" s="107"/>
      <c r="AC5" s="103"/>
      <c r="AD5" s="106" t="s">
        <v>8</v>
      </c>
      <c r="AE5" s="107"/>
      <c r="AF5" s="103"/>
    </row>
    <row r="6" spans="2:32" ht="15.6" thickTop="1" thickBot="1" x14ac:dyDescent="0.35">
      <c r="B6" s="14" t="s">
        <v>17</v>
      </c>
      <c r="C6" s="106"/>
      <c r="D6" s="107"/>
      <c r="E6" s="103"/>
      <c r="F6" s="108"/>
      <c r="G6" s="109"/>
      <c r="H6" s="110"/>
      <c r="I6" s="108"/>
      <c r="J6" s="109"/>
      <c r="K6" s="110"/>
      <c r="L6" s="106"/>
      <c r="M6" s="107"/>
      <c r="N6" s="103"/>
      <c r="O6" s="108"/>
      <c r="P6" s="109"/>
      <c r="Q6" s="110"/>
      <c r="R6" s="108"/>
      <c r="S6" s="109"/>
      <c r="T6" s="110"/>
      <c r="U6" s="106"/>
      <c r="V6" s="107"/>
      <c r="W6" s="103"/>
      <c r="X6" s="108"/>
      <c r="Y6" s="109"/>
      <c r="Z6" s="110"/>
      <c r="AA6" s="108"/>
      <c r="AB6" s="109"/>
      <c r="AC6" s="110"/>
      <c r="AD6" s="108"/>
      <c r="AE6" s="109"/>
      <c r="AF6" s="110"/>
    </row>
    <row r="7" spans="2:32" ht="15.6" thickTop="1" thickBot="1" x14ac:dyDescent="0.35">
      <c r="B7" s="4" t="s">
        <v>48</v>
      </c>
      <c r="C7" s="4" t="s">
        <v>10</v>
      </c>
      <c r="D7" s="4" t="s">
        <v>11</v>
      </c>
      <c r="E7" s="4" t="s">
        <v>20</v>
      </c>
      <c r="F7" s="4" t="s">
        <v>10</v>
      </c>
      <c r="G7" s="4" t="s">
        <v>11</v>
      </c>
      <c r="H7" s="4" t="s">
        <v>20</v>
      </c>
      <c r="I7" s="4" t="s">
        <v>10</v>
      </c>
      <c r="J7" s="4" t="s">
        <v>11</v>
      </c>
      <c r="K7" s="4" t="s">
        <v>20</v>
      </c>
      <c r="L7" s="4" t="s">
        <v>10</v>
      </c>
      <c r="M7" s="4" t="s">
        <v>11</v>
      </c>
      <c r="N7" s="4" t="s">
        <v>20</v>
      </c>
      <c r="O7" s="4" t="s">
        <v>10</v>
      </c>
      <c r="P7" s="4" t="s">
        <v>11</v>
      </c>
      <c r="Q7" s="4" t="s">
        <v>20</v>
      </c>
      <c r="R7" s="4" t="s">
        <v>10</v>
      </c>
      <c r="S7" s="4" t="s">
        <v>11</v>
      </c>
      <c r="T7" s="4" t="s">
        <v>20</v>
      </c>
      <c r="U7" s="4" t="s">
        <v>10</v>
      </c>
      <c r="V7" s="4" t="s">
        <v>11</v>
      </c>
      <c r="W7" s="4" t="s">
        <v>20</v>
      </c>
      <c r="X7" s="4" t="s">
        <v>10</v>
      </c>
      <c r="Y7" s="4" t="s">
        <v>11</v>
      </c>
      <c r="Z7" s="4" t="s">
        <v>20</v>
      </c>
      <c r="AA7" s="4" t="s">
        <v>10</v>
      </c>
      <c r="AB7" s="4" t="s">
        <v>11</v>
      </c>
      <c r="AC7" s="4" t="s">
        <v>20</v>
      </c>
      <c r="AD7" s="4" t="s">
        <v>10</v>
      </c>
      <c r="AE7" s="4" t="s">
        <v>11</v>
      </c>
      <c r="AF7" s="4" t="s">
        <v>20</v>
      </c>
    </row>
    <row r="8" spans="2:32" ht="15.6" thickTop="1" thickBot="1" x14ac:dyDescent="0.3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row>
    <row r="9" spans="2:32" ht="15.6" thickTop="1" thickBot="1" x14ac:dyDescent="0.35">
      <c r="B9" s="2" t="s">
        <v>22</v>
      </c>
      <c r="C9" s="2">
        <f>'Estimation of Revenue'!D7</f>
        <v>178</v>
      </c>
      <c r="D9" s="2">
        <f>'Estimation of Revenue'!E7</f>
        <v>67.64</v>
      </c>
      <c r="E9" s="8">
        <f>'Estimation of Revenue'!G7</f>
        <v>2</v>
      </c>
      <c r="F9" s="3">
        <f>'Estimation of Revenue'!N7</f>
        <v>199.36</v>
      </c>
      <c r="G9" s="3">
        <f>'Estimation of Revenue'!O7</f>
        <v>75.756799999999998</v>
      </c>
      <c r="H9" s="8">
        <f>'Estimation of Revenue'!P7</f>
        <v>2.5</v>
      </c>
      <c r="I9" s="3">
        <f>'Estimation of Revenue'!Q7</f>
        <v>223.28320000000002</v>
      </c>
      <c r="J9" s="3">
        <f>'Estimation of Revenue'!R7</f>
        <v>84.847616000000002</v>
      </c>
      <c r="K9" s="3">
        <f>'Estimation of Revenue'!S7</f>
        <v>3.125</v>
      </c>
      <c r="L9" s="3">
        <f>'Estimation of Revenue'!T7</f>
        <v>250.07718400000002</v>
      </c>
      <c r="M9" s="3">
        <f>'Estimation of Revenue'!U7</f>
        <v>95.029329920000009</v>
      </c>
      <c r="N9" s="3">
        <f>'Estimation of Revenue'!V7</f>
        <v>3.90625</v>
      </c>
      <c r="O9" s="3">
        <f>'Estimation of Revenue'!W7</f>
        <v>280.08644608000003</v>
      </c>
      <c r="P9" s="3">
        <f>O9*38%</f>
        <v>106.43284951040002</v>
      </c>
      <c r="Q9" s="3">
        <f>'Estimation of Revenue'!Y7</f>
        <v>4.8828125</v>
      </c>
      <c r="R9" s="3">
        <f>'Estimation of Revenue'!Z7</f>
        <v>308.09509068800003</v>
      </c>
      <c r="S9" s="3">
        <f>R9*38%</f>
        <v>117.07613446144001</v>
      </c>
      <c r="T9" s="3">
        <f>'Estimation of Revenue'!AB7</f>
        <v>5.771484375</v>
      </c>
      <c r="U9" s="3">
        <f>'Estimation of Revenue'!AC7</f>
        <v>338.90459975680005</v>
      </c>
      <c r="V9" s="3">
        <f>U9*38%</f>
        <v>128.78374790758403</v>
      </c>
      <c r="W9" s="3">
        <f>'Estimation of Revenue'!AE7</f>
        <v>6.8218945312499999</v>
      </c>
      <c r="X9" s="3">
        <f>'Estimation of Revenue'!AF7</f>
        <v>372.79505973248007</v>
      </c>
      <c r="Y9" s="3">
        <f>X9*38%</f>
        <v>141.66212269834242</v>
      </c>
      <c r="Z9" s="3">
        <f>'Estimation of Revenue'!AH7</f>
        <v>8.0634793359374992</v>
      </c>
      <c r="AA9" s="3">
        <f>'Estimation of Revenue'!AI7</f>
        <v>410.07456570572811</v>
      </c>
      <c r="AB9" s="3">
        <f>AA9*38%</f>
        <v>155.82833496817668</v>
      </c>
      <c r="AC9" s="3">
        <f>'Estimation of Revenue'!AK7</f>
        <v>9.5310325750781235</v>
      </c>
      <c r="AD9" s="3">
        <f>'Estimation of Revenue'!AL7</f>
        <v>451.0820222763009</v>
      </c>
      <c r="AE9" s="3">
        <f>AD9*38%</f>
        <v>171.41116846499435</v>
      </c>
      <c r="AF9" s="3">
        <f>'Estimation of Revenue'!AN7</f>
        <v>10.960687461339841</v>
      </c>
    </row>
    <row r="10" spans="2:32" ht="15.6" thickTop="1" thickBot="1" x14ac:dyDescent="0.35">
      <c r="B10" s="2" t="s">
        <v>23</v>
      </c>
      <c r="C10" s="2">
        <f>'Estimation of Revenue'!D8</f>
        <v>49</v>
      </c>
      <c r="D10" s="2">
        <f>'Estimation of Revenue'!E8</f>
        <v>14.7</v>
      </c>
      <c r="E10" s="8">
        <f>'Estimation of Revenue'!G8</f>
        <v>0</v>
      </c>
      <c r="F10" s="3">
        <f>'Estimation of Revenue'!N8</f>
        <v>56.35</v>
      </c>
      <c r="G10" s="3">
        <f>'Estimation of Revenue'!O8</f>
        <v>16.904999999999998</v>
      </c>
      <c r="H10" s="8">
        <f>'Estimation of Revenue'!P8</f>
        <v>0</v>
      </c>
      <c r="I10" s="3">
        <f>'Estimation of Revenue'!Q8</f>
        <v>64.802500000000009</v>
      </c>
      <c r="J10" s="3">
        <f>'Estimation of Revenue'!R8</f>
        <v>19.440749999999998</v>
      </c>
      <c r="K10" s="3">
        <f>'Estimation of Revenue'!S8</f>
        <v>0</v>
      </c>
      <c r="L10" s="3">
        <f>'Estimation of Revenue'!T8</f>
        <v>74.522875000000013</v>
      </c>
      <c r="M10" s="3">
        <f>L10*30%</f>
        <v>22.356862500000002</v>
      </c>
      <c r="N10" s="3">
        <f>'Estimation of Revenue'!V8</f>
        <v>0</v>
      </c>
      <c r="O10" s="3">
        <f>'Estimation of Revenue'!W8</f>
        <v>85.701306250000016</v>
      </c>
      <c r="P10" s="3">
        <f>O10*30%</f>
        <v>25.710391875000003</v>
      </c>
      <c r="Q10" s="3">
        <f>'Estimation of Revenue'!Y8</f>
        <v>0</v>
      </c>
      <c r="R10" s="3">
        <f>'Estimation of Revenue'!Z8</f>
        <v>95.98546300000001</v>
      </c>
      <c r="S10" s="3">
        <f>R10*30%</f>
        <v>28.7956389</v>
      </c>
      <c r="T10" s="3">
        <f>'Estimation of Revenue'!AB8</f>
        <v>0</v>
      </c>
      <c r="U10" s="3">
        <f>'Estimation of Revenue'!AC8</f>
        <v>107.50371856000001</v>
      </c>
      <c r="V10" s="3">
        <f>U10*30%</f>
        <v>32.251115568000003</v>
      </c>
      <c r="W10" s="3">
        <f>'Estimation of Revenue'!AE8</f>
        <v>0</v>
      </c>
      <c r="X10" s="3">
        <f>'Estimation of Revenue'!AF8</f>
        <v>120.40416478720002</v>
      </c>
      <c r="Y10" s="3">
        <f>X10*30%</f>
        <v>36.121249436160006</v>
      </c>
      <c r="Z10" s="3">
        <f>'Estimation of Revenue'!AH8</f>
        <v>0</v>
      </c>
      <c r="AA10" s="3">
        <f>'Estimation of Revenue'!AI8</f>
        <v>134.85266456166403</v>
      </c>
      <c r="AB10" s="3">
        <f>AA10*30%</f>
        <v>40.455799368499207</v>
      </c>
      <c r="AC10" s="3">
        <f>'Estimation of Revenue'!AK8</f>
        <v>0</v>
      </c>
      <c r="AD10" s="3">
        <f>'Estimation of Revenue'!AL8</f>
        <v>151.0349843090637</v>
      </c>
      <c r="AE10" s="3">
        <f>AD10*30%</f>
        <v>45.310495292719111</v>
      </c>
      <c r="AF10" s="3">
        <f>'Estimation of Revenue'!AN8</f>
        <v>0</v>
      </c>
    </row>
    <row r="11" spans="2:32" ht="15.6" thickTop="1" thickBot="1" x14ac:dyDescent="0.35">
      <c r="B11" s="2" t="s">
        <v>9</v>
      </c>
      <c r="C11" s="3">
        <f>'Estimation of Revenue'!D9</f>
        <v>89.888064503999985</v>
      </c>
      <c r="D11" s="3">
        <f>'Estimation of Revenue'!E9</f>
        <v>17.977612900799997</v>
      </c>
      <c r="E11" s="8">
        <f>'Estimation of Revenue'!G9</f>
        <v>0.89888064503999987</v>
      </c>
      <c r="F11" s="3">
        <f>'Estimation of Revenue'!N9</f>
        <v>121.57441649487998</v>
      </c>
      <c r="G11" s="3">
        <f>'Estimation of Revenue'!O9</f>
        <v>24.314883298976007</v>
      </c>
      <c r="H11" s="8">
        <f>'Estimation of Revenue'!P9</f>
        <v>1.2157441649488001</v>
      </c>
      <c r="I11" s="3">
        <f>'Estimation of Revenue'!Q9</f>
        <v>157.41135551322031</v>
      </c>
      <c r="J11" s="3">
        <f>'Estimation of Revenue'!R9</f>
        <v>31.482271102644056</v>
      </c>
      <c r="K11" s="3">
        <f>'Estimation of Revenue'!S9</f>
        <v>1.9011440047648107</v>
      </c>
      <c r="L11" s="3">
        <f>'Estimation of Revenue'!T9</f>
        <v>200.46721943685489</v>
      </c>
      <c r="M11" s="3">
        <f>L11*20%</f>
        <v>40.093443887370981</v>
      </c>
      <c r="N11" s="3">
        <f>'Estimation of Revenue'!V9</f>
        <v>2.007003356368549</v>
      </c>
      <c r="O11" s="3">
        <f>'Estimation of Revenue'!W9</f>
        <v>314.92018197207852</v>
      </c>
      <c r="P11" s="3">
        <f>O11*20%</f>
        <v>62.98403639441571</v>
      </c>
      <c r="Q11" s="3">
        <f>'Estimation of Revenue'!Y9</f>
        <v>3.2318250597207867</v>
      </c>
      <c r="R11" s="3">
        <f>'Estimation of Revenue'!Z9</f>
        <v>356.44056823107655</v>
      </c>
      <c r="S11" s="3">
        <f>R11*20%</f>
        <v>71.288113646215308</v>
      </c>
      <c r="T11" s="3">
        <f>'Estimation of Revenue'!AB9</f>
        <v>3.6987668923107657</v>
      </c>
      <c r="U11" s="3">
        <f>'Estimation of Revenue'!AC9</f>
        <v>403.66948021266779</v>
      </c>
      <c r="V11" s="3">
        <f>U11*20%</f>
        <v>80.733896042533559</v>
      </c>
      <c r="W11" s="3">
        <f>'Estimation of Revenue'!AE9</f>
        <v>4.2295439821266783</v>
      </c>
      <c r="X11" s="3">
        <f>'Estimation of Revenue'!AF9</f>
        <v>451.84746300148862</v>
      </c>
      <c r="Y11" s="3">
        <f>X11*20%</f>
        <v>90.369492600297733</v>
      </c>
      <c r="Z11" s="3">
        <f>'Estimation of Revenue'!AH9</f>
        <v>4.6095996300148885</v>
      </c>
      <c r="AA11" s="3">
        <f>'Estimation of Revenue'!AI9</f>
        <v>512.25184576506297</v>
      </c>
      <c r="AB11" s="3">
        <f>AA11*20%</f>
        <v>102.4503691530126</v>
      </c>
      <c r="AC11" s="3">
        <f>'Estimation of Revenue'!AK9</f>
        <v>5.2592059576506296</v>
      </c>
      <c r="AD11" s="3">
        <f>'Estimation of Revenue'!AL9</f>
        <v>581.89604798551215</v>
      </c>
      <c r="AE11" s="3">
        <f>AD11*20%</f>
        <v>116.37920959710243</v>
      </c>
      <c r="AF11" s="3">
        <f>'Estimation of Revenue'!AN9</f>
        <v>6.0239917298551209</v>
      </c>
    </row>
    <row r="12" spans="2:32" ht="15.6" thickTop="1" thickBot="1" x14ac:dyDescent="0.35">
      <c r="B12" s="2" t="s">
        <v>24</v>
      </c>
      <c r="C12" s="2">
        <f>'Estimation of Revenue'!D10</f>
        <v>10</v>
      </c>
      <c r="D12" s="2">
        <f>'Estimation of Revenue'!E10</f>
        <v>4</v>
      </c>
      <c r="E12" s="8" t="str">
        <f>'Estimation of Revenue'!G10</f>
        <v>0.08</v>
      </c>
      <c r="F12" s="3">
        <f>'Estimation of Revenue'!N10</f>
        <v>13</v>
      </c>
      <c r="G12" s="3">
        <f>'Estimation of Revenue'!O10</f>
        <v>5.2</v>
      </c>
      <c r="H12" s="8" t="str">
        <f>'Estimation of Revenue'!P10</f>
        <v>0.10</v>
      </c>
      <c r="I12" s="3">
        <f>'Estimation of Revenue'!Q10</f>
        <v>16.899999999999999</v>
      </c>
      <c r="J12" s="3">
        <f>'Estimation of Revenue'!R10</f>
        <v>6.76</v>
      </c>
      <c r="K12" s="3">
        <f>'Estimation of Revenue'!S10</f>
        <v>0.115</v>
      </c>
      <c r="L12" s="3">
        <f>'Estimation of Revenue'!T10</f>
        <v>21.97</v>
      </c>
      <c r="M12" s="3">
        <f>'Estimation of Revenue'!U10</f>
        <v>8.7880000000000003</v>
      </c>
      <c r="N12" s="3">
        <f>'Estimation of Revenue'!V10</f>
        <v>0.13225000000000001</v>
      </c>
      <c r="O12" s="3">
        <f>'Estimation of Revenue'!W10</f>
        <v>28.561</v>
      </c>
      <c r="P12" s="3">
        <f>O12*40%</f>
        <v>11.4244</v>
      </c>
      <c r="Q12" s="3" t="str">
        <f>'Estimation of Revenue'!Y10</f>
        <v>0.20</v>
      </c>
      <c r="R12" s="3">
        <f>'Estimation of Revenue'!Z10</f>
        <v>34.273200000000003</v>
      </c>
      <c r="S12" s="3">
        <f>R12*40%</f>
        <v>13.709280000000001</v>
      </c>
      <c r="T12" s="3">
        <f>'Estimation of Revenue'!AB10</f>
        <v>0.23</v>
      </c>
      <c r="U12" s="3">
        <f>'Estimation of Revenue'!AC10</f>
        <v>41.127840000000006</v>
      </c>
      <c r="V12" s="3">
        <f>U12*40%</f>
        <v>16.451136000000002</v>
      </c>
      <c r="W12" s="3">
        <f>'Estimation of Revenue'!AE10</f>
        <v>0.26450000000000001</v>
      </c>
      <c r="X12" s="3">
        <f>'Estimation of Revenue'!AF10</f>
        <v>49.353408000000009</v>
      </c>
      <c r="Y12" s="3">
        <f>X12*40%</f>
        <v>19.741363200000006</v>
      </c>
      <c r="Z12" s="3">
        <f>'Estimation of Revenue'!AH10</f>
        <v>0.30417500000000003</v>
      </c>
      <c r="AA12" s="3">
        <f>'Estimation of Revenue'!AI10</f>
        <v>59.224089600000013</v>
      </c>
      <c r="AB12" s="3">
        <f>AA12*40%</f>
        <v>23.689635840000008</v>
      </c>
      <c r="AC12" s="3" t="str">
        <f>'Estimation of Revenue'!AK10</f>
        <v>0.47</v>
      </c>
      <c r="AD12" s="3">
        <f>'Estimation of Revenue'!AL10</f>
        <v>71.06890752000001</v>
      </c>
      <c r="AE12" s="3">
        <f>AD12*40%</f>
        <v>28.427563008000007</v>
      </c>
      <c r="AF12" s="3">
        <f>'Estimation of Revenue'!AN10</f>
        <v>0.54049999999999998</v>
      </c>
    </row>
    <row r="13" spans="2:32" ht="15" thickTop="1" x14ac:dyDescent="0.3"/>
    <row r="14" spans="2:32" ht="15" thickBot="1" x14ac:dyDescent="0.35">
      <c r="B14" s="48" t="s">
        <v>85</v>
      </c>
      <c r="C14" s="48"/>
      <c r="D14" s="48"/>
      <c r="E14" s="48"/>
      <c r="F14" s="48"/>
    </row>
    <row r="15" spans="2:32" ht="15.6" thickTop="1" thickBot="1" x14ac:dyDescent="0.35">
      <c r="B15" s="46" t="s">
        <v>18</v>
      </c>
      <c r="C15" s="106" t="s">
        <v>76</v>
      </c>
      <c r="D15" s="107"/>
      <c r="E15" s="103"/>
      <c r="F15" s="102" t="s">
        <v>1</v>
      </c>
      <c r="G15" s="102"/>
      <c r="H15" s="102"/>
      <c r="I15" s="102" t="s">
        <v>2</v>
      </c>
      <c r="J15" s="102"/>
      <c r="K15" s="102"/>
      <c r="L15" s="102" t="s">
        <v>3</v>
      </c>
      <c r="M15" s="102"/>
      <c r="N15" s="102"/>
      <c r="O15" s="102" t="s">
        <v>0</v>
      </c>
      <c r="P15" s="102"/>
      <c r="Q15" s="102"/>
      <c r="R15" s="102" t="s">
        <v>4</v>
      </c>
      <c r="S15" s="102"/>
      <c r="T15" s="102"/>
      <c r="U15" s="102" t="s">
        <v>5</v>
      </c>
      <c r="V15" s="102"/>
      <c r="W15" s="102"/>
      <c r="X15" s="102" t="s">
        <v>6</v>
      </c>
      <c r="Y15" s="102"/>
      <c r="Z15" s="102"/>
      <c r="AA15" s="106" t="s">
        <v>7</v>
      </c>
      <c r="AB15" s="107"/>
      <c r="AC15" s="103"/>
      <c r="AD15" s="106" t="s">
        <v>8</v>
      </c>
      <c r="AE15" s="107"/>
      <c r="AF15" s="103"/>
    </row>
    <row r="16" spans="2:32" ht="15.6" thickTop="1" thickBot="1" x14ac:dyDescent="0.35">
      <c r="B16" s="14"/>
      <c r="C16" s="106"/>
      <c r="D16" s="107"/>
      <c r="E16" s="103"/>
      <c r="F16" s="2"/>
      <c r="G16" s="2"/>
      <c r="H16" s="2"/>
      <c r="I16" s="2"/>
      <c r="J16" s="2"/>
      <c r="K16" s="2"/>
      <c r="L16" s="106"/>
      <c r="M16" s="107"/>
      <c r="N16" s="103"/>
      <c r="O16" s="108"/>
      <c r="P16" s="109"/>
      <c r="Q16" s="110"/>
      <c r="R16" s="108"/>
      <c r="S16" s="109"/>
      <c r="T16" s="110"/>
      <c r="U16" s="106"/>
      <c r="V16" s="107"/>
      <c r="W16" s="103"/>
      <c r="X16" s="108"/>
      <c r="Y16" s="109"/>
      <c r="Z16" s="110"/>
      <c r="AA16" s="108"/>
      <c r="AB16" s="109"/>
      <c r="AC16" s="110"/>
      <c r="AD16" s="108"/>
      <c r="AE16" s="109"/>
      <c r="AF16" s="110"/>
    </row>
    <row r="17" spans="2:32" ht="15.6" thickTop="1" thickBot="1" x14ac:dyDescent="0.35">
      <c r="B17" s="4" t="s">
        <v>18</v>
      </c>
      <c r="C17" s="4" t="s">
        <v>10</v>
      </c>
      <c r="D17" s="4" t="s">
        <v>11</v>
      </c>
      <c r="E17" s="4" t="s">
        <v>20</v>
      </c>
      <c r="F17" s="4" t="s">
        <v>10</v>
      </c>
      <c r="G17" s="4" t="s">
        <v>11</v>
      </c>
      <c r="H17" s="4" t="s">
        <v>20</v>
      </c>
      <c r="I17" s="4" t="s">
        <v>10</v>
      </c>
      <c r="J17" s="4" t="s">
        <v>11</v>
      </c>
      <c r="K17" s="4" t="s">
        <v>20</v>
      </c>
      <c r="L17" s="4" t="s">
        <v>10</v>
      </c>
      <c r="M17" s="4" t="s">
        <v>11</v>
      </c>
      <c r="N17" s="4" t="s">
        <v>20</v>
      </c>
      <c r="O17" s="4" t="s">
        <v>10</v>
      </c>
      <c r="P17" s="4" t="s">
        <v>11</v>
      </c>
      <c r="Q17" s="4" t="s">
        <v>20</v>
      </c>
      <c r="R17" s="4" t="s">
        <v>10</v>
      </c>
      <c r="S17" s="4" t="s">
        <v>11</v>
      </c>
      <c r="T17" s="4" t="s">
        <v>20</v>
      </c>
      <c r="U17" s="4" t="s">
        <v>10</v>
      </c>
      <c r="V17" s="4" t="s">
        <v>11</v>
      </c>
      <c r="W17" s="4" t="s">
        <v>20</v>
      </c>
      <c r="X17" s="4" t="s">
        <v>10</v>
      </c>
      <c r="Y17" s="4" t="s">
        <v>11</v>
      </c>
      <c r="Z17" s="4" t="s">
        <v>20</v>
      </c>
      <c r="AA17" s="4" t="s">
        <v>10</v>
      </c>
      <c r="AB17" s="4" t="s">
        <v>11</v>
      </c>
      <c r="AC17" s="4" t="s">
        <v>20</v>
      </c>
      <c r="AD17" s="4" t="s">
        <v>10</v>
      </c>
      <c r="AE17" s="4" t="s">
        <v>11</v>
      </c>
      <c r="AF17" s="4" t="s">
        <v>20</v>
      </c>
    </row>
    <row r="18" spans="2:32" ht="15.6" thickTop="1" thickBot="1" x14ac:dyDescent="0.35">
      <c r="B18" s="16" t="s">
        <v>153</v>
      </c>
      <c r="C18" s="16"/>
      <c r="D18" s="16"/>
      <c r="E18" s="16"/>
      <c r="F18" s="2"/>
      <c r="G18" s="2"/>
      <c r="H18" s="2"/>
      <c r="I18" s="2"/>
      <c r="J18" s="2"/>
      <c r="K18" s="2"/>
      <c r="L18" s="16"/>
      <c r="M18" s="16"/>
      <c r="N18" s="16"/>
      <c r="O18" s="16"/>
      <c r="P18" s="16"/>
      <c r="Q18" s="16"/>
      <c r="R18" s="16"/>
      <c r="S18" s="16"/>
      <c r="T18" s="16"/>
      <c r="U18" s="16"/>
      <c r="V18" s="16"/>
      <c r="W18" s="16"/>
      <c r="X18" s="16"/>
      <c r="Y18" s="16"/>
      <c r="Z18" s="16"/>
      <c r="AA18" s="16"/>
      <c r="AB18" s="16"/>
      <c r="AC18" s="16"/>
      <c r="AD18" s="16"/>
      <c r="AE18" s="16"/>
      <c r="AF18" s="16"/>
    </row>
    <row r="19" spans="2:32" ht="15.6" thickTop="1" thickBot="1" x14ac:dyDescent="0.35">
      <c r="B19" s="2" t="s">
        <v>22</v>
      </c>
      <c r="C19" s="2">
        <v>3510000</v>
      </c>
      <c r="D19" s="2">
        <f>'Estimation of Revenue'!G35</f>
        <v>1330000</v>
      </c>
      <c r="E19" s="11">
        <f>'Beyond Bengaluru Workings'!D20</f>
        <v>131578.94736842107</v>
      </c>
      <c r="F19" s="11">
        <f t="shared" ref="F19:AC22" si="0">F9*C19/C9</f>
        <v>3931200</v>
      </c>
      <c r="G19" s="11">
        <f t="shared" si="0"/>
        <v>1489600</v>
      </c>
      <c r="H19" s="11">
        <f t="shared" si="0"/>
        <v>164473.68421052635</v>
      </c>
      <c r="I19" s="11">
        <f t="shared" si="0"/>
        <v>4402944</v>
      </c>
      <c r="J19" s="11">
        <f t="shared" si="0"/>
        <v>1668352.0000000002</v>
      </c>
      <c r="K19" s="11">
        <f t="shared" si="0"/>
        <v>205592.10526315792</v>
      </c>
      <c r="L19" s="11">
        <f t="shared" si="0"/>
        <v>4931297.2800000003</v>
      </c>
      <c r="M19" s="11">
        <f t="shared" si="0"/>
        <v>1868554.2400000005</v>
      </c>
      <c r="N19" s="11">
        <f t="shared" si="0"/>
        <v>256990.13157894742</v>
      </c>
      <c r="O19" s="11">
        <f t="shared" si="0"/>
        <v>5523052.9536000006</v>
      </c>
      <c r="P19" s="11">
        <f t="shared" si="0"/>
        <v>2092780.7488000006</v>
      </c>
      <c r="Q19" s="11">
        <f t="shared" si="0"/>
        <v>321237.66447368427</v>
      </c>
      <c r="R19" s="11">
        <f t="shared" si="0"/>
        <v>6075358.2489600005</v>
      </c>
      <c r="S19" s="11">
        <f t="shared" si="0"/>
        <v>2302058.8236800004</v>
      </c>
      <c r="T19" s="11">
        <f t="shared" si="0"/>
        <v>379702.91940789478</v>
      </c>
      <c r="U19" s="11">
        <f t="shared" si="0"/>
        <v>6682894.0738560008</v>
      </c>
      <c r="V19" s="11">
        <f t="shared" si="0"/>
        <v>2532264.7060480011</v>
      </c>
      <c r="W19" s="11">
        <f t="shared" si="0"/>
        <v>448808.85074013163</v>
      </c>
      <c r="X19" s="11">
        <f t="shared" si="0"/>
        <v>7351183.4812416015</v>
      </c>
      <c r="Y19" s="11">
        <f t="shared" si="0"/>
        <v>2785491.1766528012</v>
      </c>
      <c r="Z19" s="11">
        <f t="shared" si="0"/>
        <v>530492.06157483556</v>
      </c>
      <c r="AA19" s="11">
        <f t="shared" si="0"/>
        <v>8086301.8293657629</v>
      </c>
      <c r="AB19" s="11">
        <f t="shared" si="0"/>
        <v>3064040.2943180818</v>
      </c>
      <c r="AC19" s="11">
        <f t="shared" si="0"/>
        <v>627041.61678145558</v>
      </c>
      <c r="AD19" s="11">
        <f t="shared" ref="AD19:AD22" si="1">AD9*AA19/AA9</f>
        <v>8894932.0123023391</v>
      </c>
      <c r="AE19" s="11">
        <f t="shared" ref="AE19:AE22" si="2">AE9*AB19/AB9</f>
        <v>3370444.3237498901</v>
      </c>
      <c r="AF19" s="11">
        <f t="shared" ref="AF19" si="3">AF9*AC19/AC9</f>
        <v>721097.85929867381</v>
      </c>
    </row>
    <row r="20" spans="2:32" ht="15.6" thickTop="1" thickBot="1" x14ac:dyDescent="0.35">
      <c r="B20" s="2" t="s">
        <v>23</v>
      </c>
      <c r="C20" s="2">
        <v>990000</v>
      </c>
      <c r="D20" s="2">
        <f>'Estimation of Revenue'!G36</f>
        <v>290000</v>
      </c>
      <c r="E20" s="11">
        <v>0</v>
      </c>
      <c r="F20" s="11">
        <f t="shared" si="0"/>
        <v>1138500</v>
      </c>
      <c r="G20" s="11">
        <f t="shared" si="0"/>
        <v>333499.99999999994</v>
      </c>
      <c r="H20" s="11">
        <v>0</v>
      </c>
      <c r="I20" s="11">
        <f t="shared" si="0"/>
        <v>1309275.0000000002</v>
      </c>
      <c r="J20" s="11">
        <f t="shared" si="0"/>
        <v>383524.99999999994</v>
      </c>
      <c r="K20" s="11">
        <v>0</v>
      </c>
      <c r="L20" s="11">
        <f t="shared" si="0"/>
        <v>1505666.2500000002</v>
      </c>
      <c r="M20" s="11">
        <f t="shared" si="0"/>
        <v>441053.75</v>
      </c>
      <c r="N20" s="11">
        <v>0</v>
      </c>
      <c r="O20" s="11">
        <f t="shared" si="0"/>
        <v>1731516.1875000002</v>
      </c>
      <c r="P20" s="11">
        <f t="shared" si="0"/>
        <v>507211.8125</v>
      </c>
      <c r="Q20" s="11">
        <v>0</v>
      </c>
      <c r="R20" s="11">
        <f t="shared" si="0"/>
        <v>1939298.1300000001</v>
      </c>
      <c r="S20" s="11">
        <f t="shared" si="0"/>
        <v>568077.23</v>
      </c>
      <c r="T20" s="11">
        <v>0</v>
      </c>
      <c r="U20" s="11">
        <f t="shared" si="0"/>
        <v>2172013.9056000002</v>
      </c>
      <c r="V20" s="11">
        <f t="shared" si="0"/>
        <v>636246.4976</v>
      </c>
      <c r="W20" s="11">
        <v>0</v>
      </c>
      <c r="X20" s="11">
        <f t="shared" si="0"/>
        <v>2432655.5742720002</v>
      </c>
      <c r="Y20" s="11">
        <f t="shared" si="0"/>
        <v>712596.0773120001</v>
      </c>
      <c r="Z20" s="11">
        <v>0</v>
      </c>
      <c r="AA20" s="11">
        <f t="shared" si="0"/>
        <v>2724574.2431846405</v>
      </c>
      <c r="AB20" s="11">
        <f t="shared" si="0"/>
        <v>798107.60658944014</v>
      </c>
      <c r="AC20" s="11">
        <v>0</v>
      </c>
      <c r="AD20" s="11">
        <f t="shared" si="1"/>
        <v>3051523.152366797</v>
      </c>
      <c r="AE20" s="11">
        <f t="shared" si="2"/>
        <v>893880.51938017283</v>
      </c>
      <c r="AF20" s="11">
        <v>0</v>
      </c>
    </row>
    <row r="21" spans="2:32" ht="15.6" thickTop="1" thickBot="1" x14ac:dyDescent="0.35">
      <c r="B21" s="2" t="s">
        <v>9</v>
      </c>
      <c r="C21" s="2">
        <f>'Estimation of Revenue'!E37</f>
        <v>700000</v>
      </c>
      <c r="D21" s="2">
        <f>'Estimation of Revenue'!G37</f>
        <v>140000</v>
      </c>
      <c r="E21" s="11">
        <f>'Estimation of Revenue'!I37</f>
        <v>60000</v>
      </c>
      <c r="F21" s="11">
        <f t="shared" si="0"/>
        <v>946756.30202972027</v>
      </c>
      <c r="G21" s="11">
        <f t="shared" si="0"/>
        <v>189351.26040594414</v>
      </c>
      <c r="H21" s="11">
        <f t="shared" si="0"/>
        <v>81150.540173976042</v>
      </c>
      <c r="I21" s="11">
        <f t="shared" si="0"/>
        <v>1225835.148050728</v>
      </c>
      <c r="J21" s="11">
        <f t="shared" si="0"/>
        <v>245167.02961014555</v>
      </c>
      <c r="K21" s="11">
        <f t="shared" si="0"/>
        <v>126900.76365012025</v>
      </c>
      <c r="L21" s="11">
        <f t="shared" si="0"/>
        <v>1561131.1065614715</v>
      </c>
      <c r="M21" s="11">
        <f t="shared" si="0"/>
        <v>312226.22131229431</v>
      </c>
      <c r="N21" s="11">
        <f t="shared" si="0"/>
        <v>133966.84203468892</v>
      </c>
      <c r="O21" s="11">
        <f t="shared" si="0"/>
        <v>2452429.347509705</v>
      </c>
      <c r="P21" s="11">
        <f t="shared" si="0"/>
        <v>490485.86950194102</v>
      </c>
      <c r="Q21" s="11">
        <f t="shared" si="0"/>
        <v>215723.30503858865</v>
      </c>
      <c r="R21" s="11">
        <f t="shared" si="0"/>
        <v>2775767.830117763</v>
      </c>
      <c r="S21" s="11">
        <f t="shared" si="0"/>
        <v>555153.56602355256</v>
      </c>
      <c r="T21" s="11">
        <f t="shared" si="0"/>
        <v>246891.52532455555</v>
      </c>
      <c r="U21" s="11">
        <f t="shared" si="0"/>
        <v>3143561.2470696066</v>
      </c>
      <c r="V21" s="11">
        <f t="shared" si="0"/>
        <v>628712.24941392126</v>
      </c>
      <c r="W21" s="11">
        <f t="shared" si="0"/>
        <v>282320.72892870876</v>
      </c>
      <c r="X21" s="11">
        <f t="shared" si="0"/>
        <v>3518745.5180656058</v>
      </c>
      <c r="Y21" s="11">
        <f t="shared" si="0"/>
        <v>703749.10361312109</v>
      </c>
      <c r="Z21" s="11">
        <f t="shared" si="0"/>
        <v>307689.32374618627</v>
      </c>
      <c r="AA21" s="11">
        <f t="shared" si="0"/>
        <v>3989142.4296891782</v>
      </c>
      <c r="AB21" s="11">
        <f t="shared" si="0"/>
        <v>797828.48593783553</v>
      </c>
      <c r="AC21" s="11">
        <f t="shared" si="0"/>
        <v>351050.34155563085</v>
      </c>
      <c r="AD21" s="11">
        <f t="shared" si="1"/>
        <v>4531494.0958789093</v>
      </c>
      <c r="AE21" s="11">
        <f t="shared" si="2"/>
        <v>906298.81917578168</v>
      </c>
      <c r="AF21" s="11">
        <f t="shared" ref="AF21:AF22" si="4">AF11*AC21/AC11</f>
        <v>402099.55102017266</v>
      </c>
    </row>
    <row r="22" spans="2:32" ht="15.6" thickTop="1" thickBot="1" x14ac:dyDescent="0.35">
      <c r="B22" s="2" t="s">
        <v>24</v>
      </c>
      <c r="C22" s="2">
        <v>1060000</v>
      </c>
      <c r="D22" s="2">
        <f>'Estimation of Revenue'!G38</f>
        <v>420000</v>
      </c>
      <c r="E22" s="11">
        <f>'Estimation of Revenue'!I38</f>
        <v>100000</v>
      </c>
      <c r="F22" s="11">
        <f t="shared" si="0"/>
        <v>1378000</v>
      </c>
      <c r="G22" s="11">
        <f t="shared" si="0"/>
        <v>546000</v>
      </c>
      <c r="H22" s="11">
        <f t="shared" si="0"/>
        <v>125000</v>
      </c>
      <c r="I22" s="11">
        <f t="shared" si="0"/>
        <v>1791399.9999999998</v>
      </c>
      <c r="J22" s="11">
        <f t="shared" si="0"/>
        <v>709800</v>
      </c>
      <c r="K22" s="11">
        <f t="shared" si="0"/>
        <v>143750</v>
      </c>
      <c r="L22" s="11">
        <f t="shared" si="0"/>
        <v>2328819.9999999995</v>
      </c>
      <c r="M22" s="11">
        <f t="shared" si="0"/>
        <v>922740.00000000012</v>
      </c>
      <c r="N22" s="11">
        <f t="shared" si="0"/>
        <v>165312.5</v>
      </c>
      <c r="O22" s="11">
        <f t="shared" si="0"/>
        <v>3027465.9999999995</v>
      </c>
      <c r="P22" s="11">
        <f t="shared" si="0"/>
        <v>1199562.0000000002</v>
      </c>
      <c r="Q22" s="11">
        <f t="shared" si="0"/>
        <v>250000</v>
      </c>
      <c r="R22" s="11">
        <f t="shared" si="0"/>
        <v>3632959.2</v>
      </c>
      <c r="S22" s="11">
        <f t="shared" si="0"/>
        <v>1439474.4000000004</v>
      </c>
      <c r="T22" s="11">
        <f t="shared" si="0"/>
        <v>287500</v>
      </c>
      <c r="U22" s="11">
        <f t="shared" si="0"/>
        <v>4359551.04</v>
      </c>
      <c r="V22" s="11">
        <f t="shared" si="0"/>
        <v>1727369.2800000005</v>
      </c>
      <c r="W22" s="11">
        <f t="shared" si="0"/>
        <v>330625</v>
      </c>
      <c r="X22" s="11">
        <f t="shared" si="0"/>
        <v>5231461.2479999997</v>
      </c>
      <c r="Y22" s="11">
        <f t="shared" si="0"/>
        <v>2072843.1360000009</v>
      </c>
      <c r="Z22" s="11">
        <f t="shared" si="0"/>
        <v>380218.75000000006</v>
      </c>
      <c r="AA22" s="11">
        <f t="shared" si="0"/>
        <v>6277753.4976000004</v>
      </c>
      <c r="AB22" s="11">
        <f t="shared" si="0"/>
        <v>2487411.7632000013</v>
      </c>
      <c r="AC22" s="11">
        <f t="shared" si="0"/>
        <v>587500</v>
      </c>
      <c r="AD22" s="11">
        <f t="shared" si="1"/>
        <v>7533304.1971200006</v>
      </c>
      <c r="AE22" s="11">
        <f t="shared" si="2"/>
        <v>2984894.1158400015</v>
      </c>
      <c r="AF22" s="11">
        <f t="shared" si="4"/>
        <v>675625</v>
      </c>
    </row>
    <row r="23" spans="2:32" ht="15.6" thickTop="1" thickBot="1" x14ac:dyDescent="0.35">
      <c r="B23" s="2"/>
      <c r="C23" s="2"/>
      <c r="D23" s="2"/>
      <c r="E23" s="2"/>
      <c r="F23" s="2"/>
      <c r="G23" s="2"/>
      <c r="H23" s="2"/>
      <c r="I23" s="2"/>
      <c r="J23" s="2"/>
      <c r="K23" s="2"/>
    </row>
    <row r="24" spans="2:32" ht="15.6" thickTop="1" thickBot="1" x14ac:dyDescent="0.35">
      <c r="B24" s="14" t="s">
        <v>27</v>
      </c>
      <c r="C24" s="14">
        <f>SUM(C19:C22)</f>
        <v>6260000</v>
      </c>
      <c r="D24" s="14">
        <f t="shared" ref="D24:AC24" si="5">SUM(D19:D22)</f>
        <v>2180000</v>
      </c>
      <c r="E24" s="14">
        <f t="shared" si="5"/>
        <v>291578.94736842107</v>
      </c>
      <c r="F24" s="50">
        <f t="shared" si="5"/>
        <v>7394456.3020297205</v>
      </c>
      <c r="G24" s="50">
        <f t="shared" si="5"/>
        <v>2558451.2604059442</v>
      </c>
      <c r="H24" s="50">
        <f t="shared" si="5"/>
        <v>370624.22438450239</v>
      </c>
      <c r="I24" s="50">
        <f t="shared" si="5"/>
        <v>8729454.1480507273</v>
      </c>
      <c r="J24" s="50">
        <f t="shared" si="5"/>
        <v>3006844.0296101458</v>
      </c>
      <c r="K24" s="50">
        <f t="shared" si="5"/>
        <v>476242.86891327816</v>
      </c>
      <c r="L24" s="50">
        <f t="shared" si="5"/>
        <v>10326914.636561472</v>
      </c>
      <c r="M24" s="50">
        <f t="shared" si="5"/>
        <v>3544574.2113122945</v>
      </c>
      <c r="N24" s="50">
        <f t="shared" si="5"/>
        <v>556269.47361363634</v>
      </c>
      <c r="O24" s="50">
        <f t="shared" si="5"/>
        <v>12734464.488609705</v>
      </c>
      <c r="P24" s="50">
        <f t="shared" si="5"/>
        <v>4290040.430801942</v>
      </c>
      <c r="Q24" s="50">
        <f t="shared" si="5"/>
        <v>786960.96951227286</v>
      </c>
      <c r="R24" s="50">
        <f t="shared" si="5"/>
        <v>14423383.409077764</v>
      </c>
      <c r="S24" s="50">
        <f t="shared" si="5"/>
        <v>4864764.0197035531</v>
      </c>
      <c r="T24" s="50">
        <f t="shared" si="5"/>
        <v>914094.4447324503</v>
      </c>
      <c r="U24" s="50">
        <f t="shared" si="5"/>
        <v>16358020.266525608</v>
      </c>
      <c r="V24" s="50">
        <f t="shared" si="5"/>
        <v>5524592.7330619227</v>
      </c>
      <c r="W24" s="50">
        <f t="shared" si="5"/>
        <v>1061754.5796688404</v>
      </c>
      <c r="X24" s="50">
        <f t="shared" si="5"/>
        <v>18534045.821579207</v>
      </c>
      <c r="Y24" s="50">
        <f t="shared" si="5"/>
        <v>6274679.4935779236</v>
      </c>
      <c r="Z24" s="50">
        <f t="shared" si="5"/>
        <v>1218400.1353210218</v>
      </c>
      <c r="AA24" s="50">
        <f t="shared" si="5"/>
        <v>21077771.999839582</v>
      </c>
      <c r="AB24" s="50">
        <f t="shared" si="5"/>
        <v>7147388.1500453595</v>
      </c>
      <c r="AC24" s="50">
        <f t="shared" si="5"/>
        <v>1565591.9583370865</v>
      </c>
      <c r="AD24" s="50">
        <f t="shared" ref="AD24:AF24" si="6">SUM(AD19:AD22)</f>
        <v>24011253.457668044</v>
      </c>
      <c r="AE24" s="50">
        <f t="shared" si="6"/>
        <v>8155517.778145846</v>
      </c>
      <c r="AF24" s="50">
        <f t="shared" si="6"/>
        <v>1798822.4103188463</v>
      </c>
    </row>
    <row r="25" spans="2:32" ht="15.6" thickTop="1" thickBot="1" x14ac:dyDescent="0.35">
      <c r="B25" s="14" t="s">
        <v>84</v>
      </c>
      <c r="C25" s="14">
        <f>C24/1000000</f>
        <v>6.26</v>
      </c>
      <c r="D25" s="49">
        <f>D24/1000000</f>
        <v>2.1800000000000002</v>
      </c>
      <c r="E25" s="14">
        <f t="shared" ref="E25:AC25" si="7">E24/1000000</f>
        <v>0.29157894736842105</v>
      </c>
      <c r="F25" s="42">
        <f t="shared" si="7"/>
        <v>7.3944563020297203</v>
      </c>
      <c r="G25" s="44">
        <f t="shared" si="7"/>
        <v>2.5584512604059442</v>
      </c>
      <c r="H25" s="42">
        <f t="shared" si="7"/>
        <v>0.37062422438450238</v>
      </c>
      <c r="I25" s="42">
        <f t="shared" si="7"/>
        <v>8.7294541480507277</v>
      </c>
      <c r="J25" s="44">
        <f t="shared" si="7"/>
        <v>3.006844029610146</v>
      </c>
      <c r="K25" s="42">
        <f t="shared" si="7"/>
        <v>0.47624286891327816</v>
      </c>
      <c r="L25" s="42">
        <f t="shared" si="7"/>
        <v>10.326914636561472</v>
      </c>
      <c r="M25" s="44">
        <f t="shared" si="7"/>
        <v>3.5445742113122947</v>
      </c>
      <c r="N25" s="42">
        <f t="shared" si="7"/>
        <v>0.55626947361363632</v>
      </c>
      <c r="O25" s="42">
        <f t="shared" si="7"/>
        <v>12.734464488609705</v>
      </c>
      <c r="P25" s="44">
        <f t="shared" si="7"/>
        <v>4.290040430801942</v>
      </c>
      <c r="Q25" s="42">
        <f t="shared" si="7"/>
        <v>0.7869609695122729</v>
      </c>
      <c r="R25" s="42">
        <f t="shared" si="7"/>
        <v>14.423383409077763</v>
      </c>
      <c r="S25" s="44">
        <f t="shared" si="7"/>
        <v>4.8647640197035527</v>
      </c>
      <c r="T25" s="42">
        <f t="shared" si="7"/>
        <v>0.91409444473245027</v>
      </c>
      <c r="U25" s="42">
        <f t="shared" si="7"/>
        <v>16.358020266525607</v>
      </c>
      <c r="V25" s="44">
        <f t="shared" si="7"/>
        <v>5.5245927330619224</v>
      </c>
      <c r="W25" s="42">
        <f t="shared" si="7"/>
        <v>1.0617545796688403</v>
      </c>
      <c r="X25" s="42">
        <f t="shared" si="7"/>
        <v>18.534045821579205</v>
      </c>
      <c r="Y25" s="44">
        <f t="shared" si="7"/>
        <v>6.2746794935779233</v>
      </c>
      <c r="Z25" s="42">
        <f t="shared" si="7"/>
        <v>1.2184001353210219</v>
      </c>
      <c r="AA25" s="42">
        <f t="shared" si="7"/>
        <v>21.07777199983958</v>
      </c>
      <c r="AB25" s="44">
        <f t="shared" si="7"/>
        <v>7.1473881500453595</v>
      </c>
      <c r="AC25" s="42">
        <f t="shared" si="7"/>
        <v>1.5655919583370865</v>
      </c>
      <c r="AD25" s="42">
        <f t="shared" ref="AD25:AF25" si="8">AD24/1000000</f>
        <v>24.011253457668044</v>
      </c>
      <c r="AE25" s="44">
        <f t="shared" si="8"/>
        <v>8.1555177781458461</v>
      </c>
      <c r="AF25" s="42">
        <f t="shared" si="8"/>
        <v>1.7988224103188464</v>
      </c>
    </row>
    <row r="26" spans="2:32" ht="15.6" thickTop="1" thickBot="1" x14ac:dyDescent="0.35">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row>
    <row r="27" spans="2:32" ht="15" thickTop="1" x14ac:dyDescent="0.3">
      <c r="AC27">
        <f>AC25/AB25*100</f>
        <v>21.904392562297751</v>
      </c>
    </row>
    <row r="28" spans="2:32" x14ac:dyDescent="0.3">
      <c r="P28" s="29"/>
      <c r="Q28">
        <f>Q25/P25*100</f>
        <v>18.343905662566577</v>
      </c>
      <c r="AC28" s="29">
        <f>AC19+AC22</f>
        <v>1214541.6167814555</v>
      </c>
    </row>
    <row r="29" spans="2:32" x14ac:dyDescent="0.3">
      <c r="E29">
        <f>E25/D25*100</f>
        <v>13.375181071945919</v>
      </c>
      <c r="F29">
        <f t="shared" ref="F29:AF29" si="9">F25/E25*100</f>
        <v>2536.0048689271603</v>
      </c>
      <c r="G29">
        <f t="shared" si="9"/>
        <v>34.599585904695509</v>
      </c>
      <c r="H29">
        <f t="shared" si="9"/>
        <v>14.486272618134466</v>
      </c>
      <c r="I29">
        <f t="shared" si="9"/>
        <v>2355.3382573812542</v>
      </c>
      <c r="J29">
        <f t="shared" si="9"/>
        <v>34.444811538205613</v>
      </c>
      <c r="K29">
        <f t="shared" si="9"/>
        <v>15.838628948606479</v>
      </c>
      <c r="L29">
        <f t="shared" si="9"/>
        <v>2168.4134945949099</v>
      </c>
      <c r="M29">
        <f t="shared" si="9"/>
        <v>34.323651700993658</v>
      </c>
      <c r="N29">
        <f t="shared" si="9"/>
        <v>15.693548518136138</v>
      </c>
      <c r="O29">
        <f t="shared" si="9"/>
        <v>2289.2617863576279</v>
      </c>
      <c r="P29">
        <f t="shared" si="9"/>
        <v>33.68842431214248</v>
      </c>
      <c r="Q29">
        <f t="shared" si="9"/>
        <v>18.343905662566577</v>
      </c>
      <c r="R29">
        <f t="shared" si="9"/>
        <v>1832.7952678538559</v>
      </c>
      <c r="S29">
        <f t="shared" si="9"/>
        <v>33.72831382019406</v>
      </c>
      <c r="T29">
        <f t="shared" si="9"/>
        <v>18.790108647205315</v>
      </c>
      <c r="U29">
        <f t="shared" si="9"/>
        <v>1789.5328388428723</v>
      </c>
      <c r="V29">
        <f t="shared" si="9"/>
        <v>33.77299112636036</v>
      </c>
      <c r="W29">
        <f t="shared" si="9"/>
        <v>19.218694136759993</v>
      </c>
      <c r="X29">
        <f t="shared" si="9"/>
        <v>1745.6054512484368</v>
      </c>
      <c r="Y29">
        <f t="shared" si="9"/>
        <v>33.854882813941835</v>
      </c>
      <c r="Z29">
        <f t="shared" si="9"/>
        <v>19.417727018057946</v>
      </c>
      <c r="AA29">
        <f t="shared" si="9"/>
        <v>1729.9548308311741</v>
      </c>
      <c r="AB29">
        <f t="shared" si="9"/>
        <v>33.909599886077892</v>
      </c>
      <c r="AC29">
        <f t="shared" si="9"/>
        <v>21.904392562297751</v>
      </c>
      <c r="AD29">
        <f t="shared" si="9"/>
        <v>1533.6852830524183</v>
      </c>
      <c r="AE29">
        <f t="shared" si="9"/>
        <v>33.965397901963193</v>
      </c>
      <c r="AF29">
        <f t="shared" si="9"/>
        <v>22.056507744230654</v>
      </c>
    </row>
    <row r="30" spans="2:32" x14ac:dyDescent="0.3">
      <c r="F30" s="29"/>
      <c r="G30" s="29"/>
    </row>
    <row r="31" spans="2:32" x14ac:dyDescent="0.3">
      <c r="D31">
        <f>D19/1000000</f>
        <v>1.33</v>
      </c>
      <c r="E31">
        <f t="shared" ref="E31:AF36" si="10">E19/1000000</f>
        <v>0.13157894736842107</v>
      </c>
      <c r="F31">
        <f t="shared" si="10"/>
        <v>3.9312</v>
      </c>
      <c r="G31">
        <f t="shared" si="10"/>
        <v>1.4896</v>
      </c>
      <c r="H31">
        <f t="shared" si="10"/>
        <v>0.16447368421052636</v>
      </c>
      <c r="I31">
        <f t="shared" si="10"/>
        <v>4.4029439999999997</v>
      </c>
      <c r="J31">
        <f t="shared" si="10"/>
        <v>1.6683520000000003</v>
      </c>
      <c r="K31">
        <f t="shared" si="10"/>
        <v>0.20559210526315791</v>
      </c>
      <c r="L31">
        <f t="shared" si="10"/>
        <v>4.9312972799999999</v>
      </c>
      <c r="M31">
        <f t="shared" si="10"/>
        <v>1.8685542400000004</v>
      </c>
      <c r="N31">
        <f t="shared" si="10"/>
        <v>0.2569901315789474</v>
      </c>
      <c r="O31">
        <f t="shared" si="10"/>
        <v>5.5230529536000006</v>
      </c>
      <c r="P31">
        <f t="shared" si="10"/>
        <v>2.0927807488000005</v>
      </c>
      <c r="Q31">
        <f t="shared" si="10"/>
        <v>0.32123766447368429</v>
      </c>
      <c r="R31">
        <f t="shared" si="10"/>
        <v>6.0753582489600007</v>
      </c>
      <c r="S31">
        <f t="shared" si="10"/>
        <v>2.3020588236800004</v>
      </c>
      <c r="T31">
        <f t="shared" si="10"/>
        <v>0.3797029194078948</v>
      </c>
      <c r="U31">
        <f t="shared" si="10"/>
        <v>6.6828940738560005</v>
      </c>
      <c r="V31">
        <f t="shared" si="10"/>
        <v>2.532264706048001</v>
      </c>
      <c r="W31">
        <f t="shared" si="10"/>
        <v>0.4488088507401316</v>
      </c>
      <c r="X31">
        <f t="shared" si="10"/>
        <v>7.3511834812416019</v>
      </c>
      <c r="Y31">
        <f t="shared" si="10"/>
        <v>2.7854911766528012</v>
      </c>
      <c r="Z31">
        <f t="shared" si="10"/>
        <v>0.53049206157483553</v>
      </c>
      <c r="AA31">
        <f t="shared" si="10"/>
        <v>8.0863018293657625</v>
      </c>
      <c r="AB31">
        <f t="shared" si="10"/>
        <v>3.0640402943180818</v>
      </c>
      <c r="AC31">
        <f t="shared" si="10"/>
        <v>0.62704161678145554</v>
      </c>
      <c r="AD31">
        <f t="shared" si="10"/>
        <v>8.8949320123023394</v>
      </c>
      <c r="AE31">
        <f t="shared" si="10"/>
        <v>3.37044432374989</v>
      </c>
      <c r="AF31">
        <f t="shared" si="10"/>
        <v>0.72109785929867376</v>
      </c>
    </row>
    <row r="32" spans="2:32" x14ac:dyDescent="0.3">
      <c r="D32">
        <f t="shared" ref="D32:S36" si="11">D20/1000000</f>
        <v>0.28999999999999998</v>
      </c>
      <c r="E32">
        <f t="shared" si="11"/>
        <v>0</v>
      </c>
      <c r="F32">
        <f t="shared" si="11"/>
        <v>1.1385000000000001</v>
      </c>
      <c r="G32">
        <f t="shared" si="11"/>
        <v>0.33349999999999996</v>
      </c>
      <c r="H32">
        <f t="shared" si="11"/>
        <v>0</v>
      </c>
      <c r="I32">
        <f t="shared" si="11"/>
        <v>1.3092750000000002</v>
      </c>
      <c r="J32">
        <f t="shared" si="11"/>
        <v>0.38352499999999995</v>
      </c>
      <c r="K32">
        <f t="shared" si="11"/>
        <v>0</v>
      </c>
      <c r="L32">
        <f t="shared" si="11"/>
        <v>1.5056662500000002</v>
      </c>
      <c r="M32">
        <f t="shared" si="11"/>
        <v>0.44105375000000002</v>
      </c>
      <c r="N32">
        <f t="shared" si="11"/>
        <v>0</v>
      </c>
      <c r="O32">
        <f t="shared" si="11"/>
        <v>1.7315161875000002</v>
      </c>
      <c r="P32">
        <f t="shared" si="11"/>
        <v>0.50721181250000003</v>
      </c>
      <c r="Q32">
        <f t="shared" si="11"/>
        <v>0</v>
      </c>
      <c r="R32">
        <f t="shared" si="11"/>
        <v>1.9392981300000001</v>
      </c>
      <c r="S32">
        <f t="shared" si="11"/>
        <v>0.56807722999999999</v>
      </c>
      <c r="T32">
        <f t="shared" si="10"/>
        <v>0</v>
      </c>
      <c r="U32">
        <f t="shared" si="10"/>
        <v>2.1720139056000001</v>
      </c>
      <c r="V32">
        <f t="shared" si="10"/>
        <v>0.63624649759999996</v>
      </c>
      <c r="W32">
        <f t="shared" si="10"/>
        <v>0</v>
      </c>
      <c r="X32">
        <f t="shared" si="10"/>
        <v>2.4326555742720002</v>
      </c>
      <c r="Y32">
        <f t="shared" si="10"/>
        <v>0.71259607731200014</v>
      </c>
      <c r="Z32">
        <f t="shared" si="10"/>
        <v>0</v>
      </c>
      <c r="AA32">
        <f t="shared" si="10"/>
        <v>2.7245742431846405</v>
      </c>
      <c r="AB32">
        <f t="shared" si="10"/>
        <v>0.79810760658944013</v>
      </c>
      <c r="AC32">
        <f t="shared" si="10"/>
        <v>0</v>
      </c>
      <c r="AD32">
        <f t="shared" si="10"/>
        <v>3.0515231523667969</v>
      </c>
      <c r="AE32">
        <f t="shared" si="10"/>
        <v>0.89388051938017288</v>
      </c>
      <c r="AF32">
        <f t="shared" si="10"/>
        <v>0</v>
      </c>
    </row>
    <row r="33" spans="4:32" x14ac:dyDescent="0.3">
      <c r="D33">
        <f t="shared" si="11"/>
        <v>0.14000000000000001</v>
      </c>
      <c r="E33">
        <f t="shared" si="10"/>
        <v>0.06</v>
      </c>
      <c r="F33">
        <f t="shared" si="10"/>
        <v>0.94675630202972028</v>
      </c>
      <c r="G33">
        <f t="shared" si="10"/>
        <v>0.18935126040594413</v>
      </c>
      <c r="H33">
        <f t="shared" si="10"/>
        <v>8.1150540173976035E-2</v>
      </c>
      <c r="I33">
        <f t="shared" si="10"/>
        <v>1.2258351480507281</v>
      </c>
      <c r="J33">
        <f t="shared" si="10"/>
        <v>0.24516702961014555</v>
      </c>
      <c r="K33">
        <f t="shared" si="10"/>
        <v>0.12690076365012026</v>
      </c>
      <c r="L33">
        <f t="shared" si="10"/>
        <v>1.5611311065614715</v>
      </c>
      <c r="M33">
        <f t="shared" si="10"/>
        <v>0.31222622131229433</v>
      </c>
      <c r="N33">
        <f t="shared" si="10"/>
        <v>0.13396684203468892</v>
      </c>
      <c r="O33">
        <f t="shared" si="10"/>
        <v>2.452429347509705</v>
      </c>
      <c r="P33">
        <f t="shared" si="10"/>
        <v>0.49048586950194101</v>
      </c>
      <c r="Q33">
        <f t="shared" si="10"/>
        <v>0.21572330503858864</v>
      </c>
      <c r="R33">
        <f t="shared" si="10"/>
        <v>2.7757678301177631</v>
      </c>
      <c r="S33">
        <f t="shared" si="10"/>
        <v>0.55515356602355259</v>
      </c>
      <c r="T33">
        <f t="shared" si="10"/>
        <v>0.24689152532455555</v>
      </c>
      <c r="U33">
        <f t="shared" si="10"/>
        <v>3.1435612470696066</v>
      </c>
      <c r="V33">
        <f t="shared" si="10"/>
        <v>0.62871224941392123</v>
      </c>
      <c r="W33">
        <f t="shared" si="10"/>
        <v>0.28232072892870874</v>
      </c>
      <c r="X33">
        <f t="shared" si="10"/>
        <v>3.518745518065606</v>
      </c>
      <c r="Y33">
        <f t="shared" si="10"/>
        <v>0.70374910361312104</v>
      </c>
      <c r="Z33">
        <f t="shared" si="10"/>
        <v>0.30768932374618629</v>
      </c>
      <c r="AA33">
        <f t="shared" si="10"/>
        <v>3.9891424296891782</v>
      </c>
      <c r="AB33">
        <f t="shared" si="10"/>
        <v>0.79782848593783551</v>
      </c>
      <c r="AC33">
        <f t="shared" si="10"/>
        <v>0.35105034155563086</v>
      </c>
      <c r="AD33">
        <f t="shared" si="10"/>
        <v>4.5314940958789096</v>
      </c>
      <c r="AE33">
        <f t="shared" si="10"/>
        <v>0.9062988191757817</v>
      </c>
      <c r="AF33">
        <f t="shared" si="10"/>
        <v>0.40209955102017264</v>
      </c>
    </row>
    <row r="34" spans="4:32" x14ac:dyDescent="0.3">
      <c r="D34">
        <f t="shared" si="11"/>
        <v>0.42</v>
      </c>
      <c r="E34">
        <f t="shared" si="10"/>
        <v>0.1</v>
      </c>
      <c r="F34">
        <f t="shared" si="10"/>
        <v>1.3779999999999999</v>
      </c>
      <c r="G34">
        <f t="shared" si="10"/>
        <v>0.54600000000000004</v>
      </c>
      <c r="H34">
        <f t="shared" si="10"/>
        <v>0.125</v>
      </c>
      <c r="I34">
        <f t="shared" si="10"/>
        <v>1.7913999999999997</v>
      </c>
      <c r="J34">
        <f t="shared" si="10"/>
        <v>0.70979999999999999</v>
      </c>
      <c r="K34">
        <f t="shared" si="10"/>
        <v>0.14374999999999999</v>
      </c>
      <c r="L34">
        <f t="shared" si="10"/>
        <v>2.3288199999999994</v>
      </c>
      <c r="M34">
        <f t="shared" si="10"/>
        <v>0.92274000000000012</v>
      </c>
      <c r="N34">
        <f t="shared" si="10"/>
        <v>0.1653125</v>
      </c>
      <c r="O34">
        <f t="shared" si="10"/>
        <v>3.0274659999999995</v>
      </c>
      <c r="P34">
        <f t="shared" si="10"/>
        <v>1.1995620000000002</v>
      </c>
      <c r="Q34">
        <f t="shared" si="10"/>
        <v>0.25</v>
      </c>
      <c r="R34">
        <f t="shared" si="10"/>
        <v>3.6329592000000002</v>
      </c>
      <c r="S34">
        <f t="shared" si="10"/>
        <v>1.4394744000000004</v>
      </c>
      <c r="T34">
        <f t="shared" si="10"/>
        <v>0.28749999999999998</v>
      </c>
      <c r="U34">
        <f t="shared" si="10"/>
        <v>4.3595510400000004</v>
      </c>
      <c r="V34">
        <f t="shared" si="10"/>
        <v>1.7273692800000005</v>
      </c>
      <c r="W34">
        <f t="shared" si="10"/>
        <v>0.330625</v>
      </c>
      <c r="X34">
        <f t="shared" si="10"/>
        <v>5.2314612479999996</v>
      </c>
      <c r="Y34">
        <f t="shared" si="10"/>
        <v>2.0728431360000008</v>
      </c>
      <c r="Z34">
        <f t="shared" si="10"/>
        <v>0.38021875000000005</v>
      </c>
      <c r="AA34">
        <f t="shared" si="10"/>
        <v>6.2777534976</v>
      </c>
      <c r="AB34">
        <f t="shared" si="10"/>
        <v>2.4874117632000012</v>
      </c>
      <c r="AC34">
        <f t="shared" si="10"/>
        <v>0.58750000000000002</v>
      </c>
      <c r="AD34">
        <f t="shared" si="10"/>
        <v>7.5333041971200005</v>
      </c>
      <c r="AE34">
        <f t="shared" si="10"/>
        <v>2.9848941158400013</v>
      </c>
      <c r="AF34">
        <f t="shared" si="10"/>
        <v>0.67562500000000003</v>
      </c>
    </row>
    <row r="35" spans="4:32" x14ac:dyDescent="0.3">
      <c r="D35">
        <f>D23/1000000</f>
        <v>0</v>
      </c>
      <c r="E35">
        <f t="shared" ref="E35:AF35" si="12">E23/1000000</f>
        <v>0</v>
      </c>
      <c r="F35">
        <f t="shared" si="12"/>
        <v>0</v>
      </c>
      <c r="G35">
        <f t="shared" si="12"/>
        <v>0</v>
      </c>
      <c r="H35">
        <f t="shared" si="12"/>
        <v>0</v>
      </c>
      <c r="I35">
        <f t="shared" si="12"/>
        <v>0</v>
      </c>
      <c r="J35">
        <f t="shared" si="12"/>
        <v>0</v>
      </c>
      <c r="K35">
        <f t="shared" si="12"/>
        <v>0</v>
      </c>
      <c r="L35">
        <f t="shared" si="12"/>
        <v>0</v>
      </c>
      <c r="M35">
        <f t="shared" si="12"/>
        <v>0</v>
      </c>
      <c r="N35">
        <f t="shared" si="12"/>
        <v>0</v>
      </c>
      <c r="O35">
        <f t="shared" si="12"/>
        <v>0</v>
      </c>
      <c r="P35">
        <f t="shared" si="12"/>
        <v>0</v>
      </c>
      <c r="Q35">
        <f t="shared" si="12"/>
        <v>0</v>
      </c>
      <c r="R35">
        <f t="shared" si="12"/>
        <v>0</v>
      </c>
      <c r="S35">
        <f t="shared" si="12"/>
        <v>0</v>
      </c>
      <c r="T35">
        <f t="shared" si="12"/>
        <v>0</v>
      </c>
      <c r="U35">
        <f t="shared" si="12"/>
        <v>0</v>
      </c>
      <c r="V35">
        <f t="shared" si="12"/>
        <v>0</v>
      </c>
      <c r="W35">
        <f t="shared" si="12"/>
        <v>0</v>
      </c>
      <c r="X35">
        <f t="shared" si="12"/>
        <v>0</v>
      </c>
      <c r="Y35">
        <f t="shared" si="12"/>
        <v>0</v>
      </c>
      <c r="Z35">
        <f t="shared" si="12"/>
        <v>0</v>
      </c>
      <c r="AA35">
        <f t="shared" si="12"/>
        <v>0</v>
      </c>
      <c r="AB35">
        <f t="shared" si="12"/>
        <v>0</v>
      </c>
      <c r="AC35">
        <f t="shared" si="12"/>
        <v>0</v>
      </c>
      <c r="AD35">
        <f t="shared" si="12"/>
        <v>0</v>
      </c>
      <c r="AE35">
        <f t="shared" si="12"/>
        <v>0</v>
      </c>
      <c r="AF35">
        <f t="shared" si="12"/>
        <v>0</v>
      </c>
    </row>
    <row r="36" spans="4:32" s="43" customFormat="1" x14ac:dyDescent="0.3">
      <c r="D36" s="43">
        <f t="shared" si="11"/>
        <v>2.1800000000000002</v>
      </c>
      <c r="E36" s="43">
        <f t="shared" si="10"/>
        <v>0.29157894736842105</v>
      </c>
      <c r="F36" s="43">
        <f t="shared" si="10"/>
        <v>7.3944563020297203</v>
      </c>
      <c r="G36" s="43">
        <f t="shared" si="10"/>
        <v>2.5584512604059442</v>
      </c>
      <c r="H36" s="43">
        <f t="shared" si="10"/>
        <v>0.37062422438450238</v>
      </c>
      <c r="I36" s="43">
        <f t="shared" si="10"/>
        <v>8.7294541480507277</v>
      </c>
      <c r="J36" s="43">
        <f t="shared" si="10"/>
        <v>3.006844029610146</v>
      </c>
      <c r="K36" s="43">
        <f t="shared" si="10"/>
        <v>0.47624286891327816</v>
      </c>
      <c r="L36" s="43">
        <f t="shared" si="10"/>
        <v>10.326914636561472</v>
      </c>
      <c r="M36" s="43">
        <f t="shared" si="10"/>
        <v>3.5445742113122947</v>
      </c>
      <c r="N36" s="43">
        <f t="shared" si="10"/>
        <v>0.55626947361363632</v>
      </c>
      <c r="O36" s="43">
        <f t="shared" si="10"/>
        <v>12.734464488609705</v>
      </c>
      <c r="P36" s="43">
        <f t="shared" si="10"/>
        <v>4.290040430801942</v>
      </c>
      <c r="Q36" s="43">
        <f t="shared" si="10"/>
        <v>0.7869609695122729</v>
      </c>
      <c r="R36" s="43">
        <f t="shared" si="10"/>
        <v>14.423383409077763</v>
      </c>
      <c r="S36" s="43">
        <f t="shared" si="10"/>
        <v>4.8647640197035527</v>
      </c>
      <c r="T36" s="43">
        <f t="shared" si="10"/>
        <v>0.91409444473245027</v>
      </c>
      <c r="U36" s="43">
        <f t="shared" si="10"/>
        <v>16.358020266525607</v>
      </c>
      <c r="V36" s="43">
        <f t="shared" si="10"/>
        <v>5.5245927330619224</v>
      </c>
      <c r="W36" s="43">
        <f t="shared" si="10"/>
        <v>1.0617545796688403</v>
      </c>
      <c r="X36" s="43">
        <f t="shared" si="10"/>
        <v>18.534045821579205</v>
      </c>
      <c r="Y36" s="43">
        <f t="shared" si="10"/>
        <v>6.2746794935779233</v>
      </c>
      <c r="Z36" s="43">
        <f t="shared" si="10"/>
        <v>1.2184001353210219</v>
      </c>
      <c r="AA36" s="43">
        <f t="shared" si="10"/>
        <v>21.07777199983958</v>
      </c>
      <c r="AB36" s="43">
        <f t="shared" si="10"/>
        <v>7.1473881500453595</v>
      </c>
      <c r="AC36" s="43">
        <f t="shared" si="10"/>
        <v>1.5655919583370865</v>
      </c>
      <c r="AD36" s="43">
        <f t="shared" si="10"/>
        <v>24.011253457668044</v>
      </c>
      <c r="AE36" s="43">
        <f t="shared" si="10"/>
        <v>8.1555177781458461</v>
      </c>
      <c r="AF36" s="43">
        <f t="shared" si="10"/>
        <v>1.7988224103188464</v>
      </c>
    </row>
  </sheetData>
  <mergeCells count="39">
    <mergeCell ref="AD5:AF5"/>
    <mergeCell ref="AD6:AF6"/>
    <mergeCell ref="AD15:AF15"/>
    <mergeCell ref="AD16:AF16"/>
    <mergeCell ref="C16:E16"/>
    <mergeCell ref="C15:E15"/>
    <mergeCell ref="I15:K15"/>
    <mergeCell ref="F15:H15"/>
    <mergeCell ref="U5:W5"/>
    <mergeCell ref="X5:Z5"/>
    <mergeCell ref="AA5:AC5"/>
    <mergeCell ref="U6:W6"/>
    <mergeCell ref="X6:Z6"/>
    <mergeCell ref="AA6:AC6"/>
    <mergeCell ref="L5:N5"/>
    <mergeCell ref="O5:Q5"/>
    <mergeCell ref="B2:F2"/>
    <mergeCell ref="C5:E5"/>
    <mergeCell ref="F5:H5"/>
    <mergeCell ref="I5:K5"/>
    <mergeCell ref="C6:E6"/>
    <mergeCell ref="F6:H6"/>
    <mergeCell ref="I6:K6"/>
    <mergeCell ref="R5:T5"/>
    <mergeCell ref="L6:N6"/>
    <mergeCell ref="O6:Q6"/>
    <mergeCell ref="R6:T6"/>
    <mergeCell ref="L16:N16"/>
    <mergeCell ref="O16:Q16"/>
    <mergeCell ref="R16:T16"/>
    <mergeCell ref="L15:N15"/>
    <mergeCell ref="O15:Q15"/>
    <mergeCell ref="R15:T15"/>
    <mergeCell ref="X15:Z15"/>
    <mergeCell ref="AA15:AC15"/>
    <mergeCell ref="U16:W16"/>
    <mergeCell ref="X16:Z16"/>
    <mergeCell ref="AA16:AC16"/>
    <mergeCell ref="U15:W15"/>
  </mergeCells>
  <phoneticPr fontId="7" type="noConversion"/>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A978B-50DB-4844-A06E-D3C676BE52C5}">
  <dimension ref="B2:L25"/>
  <sheetViews>
    <sheetView topLeftCell="A2" workbookViewId="0">
      <selection activeCell="G26" sqref="G26"/>
    </sheetView>
  </sheetViews>
  <sheetFormatPr defaultRowHeight="14.4" x14ac:dyDescent="0.3"/>
  <cols>
    <col min="2" max="2" width="47.44140625" bestFit="1" customWidth="1"/>
    <col min="3" max="12" width="16.6640625" bestFit="1" customWidth="1"/>
  </cols>
  <sheetData>
    <row r="2" spans="2:12" x14ac:dyDescent="0.3">
      <c r="B2" s="105" t="s">
        <v>87</v>
      </c>
      <c r="C2" s="105"/>
    </row>
    <row r="4" spans="2:12" ht="15" thickBot="1" x14ac:dyDescent="0.35">
      <c r="B4" s="34"/>
    </row>
    <row r="5" spans="2:12" ht="15.6" thickTop="1" thickBot="1" x14ac:dyDescent="0.35">
      <c r="B5" s="46" t="s">
        <v>83</v>
      </c>
      <c r="C5" s="51" t="s">
        <v>89</v>
      </c>
      <c r="D5" s="4" t="s">
        <v>90</v>
      </c>
      <c r="E5" s="4" t="s">
        <v>1</v>
      </c>
      <c r="F5" s="4" t="s">
        <v>2</v>
      </c>
      <c r="G5" s="4" t="s">
        <v>3</v>
      </c>
      <c r="H5" s="4" t="s">
        <v>0</v>
      </c>
      <c r="I5" s="4" t="s">
        <v>4</v>
      </c>
      <c r="J5" s="4" t="s">
        <v>5</v>
      </c>
      <c r="K5" s="4" t="s">
        <v>6</v>
      </c>
      <c r="L5" s="4" t="s">
        <v>7</v>
      </c>
    </row>
    <row r="6" spans="2:12" ht="15.6" thickTop="1" thickBot="1" x14ac:dyDescent="0.35">
      <c r="B6" s="14" t="s">
        <v>17</v>
      </c>
      <c r="C6" s="53"/>
      <c r="D6" s="18"/>
      <c r="E6" s="18"/>
      <c r="F6" s="18"/>
      <c r="G6" s="18"/>
      <c r="H6" s="18"/>
      <c r="I6" s="18"/>
      <c r="J6" s="18"/>
      <c r="K6" s="18"/>
      <c r="L6" s="18"/>
    </row>
    <row r="7" spans="2:12" ht="15.6" thickTop="1" thickBot="1" x14ac:dyDescent="0.35">
      <c r="B7" s="4" t="s">
        <v>48</v>
      </c>
      <c r="C7" s="4" t="s">
        <v>20</v>
      </c>
      <c r="D7" s="4" t="s">
        <v>20</v>
      </c>
      <c r="E7" s="4" t="s">
        <v>20</v>
      </c>
      <c r="F7" s="4" t="s">
        <v>20</v>
      </c>
      <c r="G7" s="4" t="s">
        <v>20</v>
      </c>
      <c r="H7" s="4" t="s">
        <v>20</v>
      </c>
      <c r="I7" s="4" t="s">
        <v>20</v>
      </c>
      <c r="J7" s="4" t="s">
        <v>20</v>
      </c>
      <c r="K7" s="4" t="s">
        <v>20</v>
      </c>
      <c r="L7" s="4" t="s">
        <v>20</v>
      </c>
    </row>
    <row r="8" spans="2:12" ht="15.6" thickTop="1" thickBot="1" x14ac:dyDescent="0.35">
      <c r="B8" s="16"/>
      <c r="C8" s="16"/>
      <c r="D8" s="16"/>
      <c r="E8" s="16"/>
      <c r="F8" s="16"/>
      <c r="G8" s="16"/>
      <c r="H8" s="16"/>
      <c r="I8" s="16"/>
      <c r="J8" s="16"/>
      <c r="K8" s="16"/>
      <c r="L8" s="16"/>
    </row>
    <row r="9" spans="2:12" s="1" customFormat="1" ht="15.6" thickTop="1" thickBot="1" x14ac:dyDescent="0.35">
      <c r="B9" s="16" t="s">
        <v>88</v>
      </c>
      <c r="C9" s="55">
        <v>1.1399999999999999</v>
      </c>
      <c r="D9" s="56">
        <v>2</v>
      </c>
      <c r="E9" s="56">
        <f>D9+25%*D9</f>
        <v>2.5</v>
      </c>
      <c r="F9" s="56">
        <f>E9+25%*E9</f>
        <v>3.125</v>
      </c>
      <c r="G9" s="56">
        <f>F9+25%*F9</f>
        <v>3.90625</v>
      </c>
      <c r="H9" s="57">
        <f>G9+25%*G9</f>
        <v>4.8828125</v>
      </c>
      <c r="I9" s="56">
        <f>H9+18.2%*H9</f>
        <v>5.771484375</v>
      </c>
      <c r="J9" s="56">
        <f t="shared" ref="J9:L9" si="0">I9+18.2%*I9</f>
        <v>6.8218945312499999</v>
      </c>
      <c r="K9" s="56">
        <f t="shared" si="0"/>
        <v>8.0634793359374992</v>
      </c>
      <c r="L9" s="57">
        <f t="shared" si="0"/>
        <v>9.5310325750781235</v>
      </c>
    </row>
    <row r="10" spans="2:12" s="1" customFormat="1" ht="15.6" thickTop="1" thickBot="1" x14ac:dyDescent="0.35">
      <c r="B10" s="16" t="s">
        <v>9</v>
      </c>
      <c r="C10" s="55"/>
      <c r="D10" s="56">
        <f>'Estimation of Revenue'!G9</f>
        <v>0.89888064503999987</v>
      </c>
      <c r="E10" s="56">
        <f>'Estimation of Revenue'!P9</f>
        <v>1.2157441649488001</v>
      </c>
      <c r="F10" s="55">
        <f>'Final Employment Estimation'!K11</f>
        <v>1.9011440047648107</v>
      </c>
      <c r="G10" s="56">
        <f>'Estimation of Revenue'!V9</f>
        <v>2.007003356368549</v>
      </c>
      <c r="H10" s="61">
        <f>'Final Employment Estimation'!Q11</f>
        <v>3.2318250597207867</v>
      </c>
      <c r="I10" s="55">
        <f>'Final Employment Estimation'!T11</f>
        <v>3.6987668923107657</v>
      </c>
      <c r="J10" s="55">
        <f>'Final Employment Estimation'!W11</f>
        <v>4.2295439821266783</v>
      </c>
      <c r="K10" s="55">
        <f>'Final Employment Estimation'!Z11</f>
        <v>4.6095996300148885</v>
      </c>
      <c r="L10" s="61">
        <f>'Final Employment Estimation'!AC11</f>
        <v>5.2592059576506296</v>
      </c>
    </row>
    <row r="11" spans="2:12" s="1" customFormat="1" ht="15.6" thickTop="1" thickBot="1" x14ac:dyDescent="0.35">
      <c r="B11" s="16" t="s">
        <v>94</v>
      </c>
      <c r="C11" s="55"/>
      <c r="D11" s="56" t="str">
        <f>'Final Employment Estimation'!E12</f>
        <v>0.08</v>
      </c>
      <c r="E11" s="55" t="str">
        <f>'Final Employment Estimation'!H12</f>
        <v>0.10</v>
      </c>
      <c r="F11" s="55">
        <f>'Final Employment Estimation'!K12</f>
        <v>0.115</v>
      </c>
      <c r="G11" s="55">
        <f>'Final Employment Estimation'!N12</f>
        <v>0.13225000000000001</v>
      </c>
      <c r="H11" s="61" t="str">
        <f>'Final Employment Estimation'!Q12</f>
        <v>0.20</v>
      </c>
      <c r="I11" s="55">
        <f>'Final Employment Estimation'!T12</f>
        <v>0.23</v>
      </c>
      <c r="J11" s="55">
        <f>'Final Employment Estimation'!W12</f>
        <v>0.26450000000000001</v>
      </c>
      <c r="K11" s="55">
        <f>'Final Employment Estimation'!Z12</f>
        <v>0.30417500000000003</v>
      </c>
      <c r="L11" s="61" t="str">
        <f>'Final Employment Estimation'!AC12</f>
        <v>0.47</v>
      </c>
    </row>
    <row r="12" spans="2:12" ht="15.6" thickTop="1" thickBot="1" x14ac:dyDescent="0.35">
      <c r="B12" s="14" t="s">
        <v>27</v>
      </c>
      <c r="C12" s="42">
        <f>SUM(C9:C11)</f>
        <v>1.1399999999999999</v>
      </c>
      <c r="D12" s="42">
        <f t="shared" ref="D12:L12" si="1">SUM(D9:D11)</f>
        <v>2.8988806450399998</v>
      </c>
      <c r="E12" s="42">
        <f t="shared" si="1"/>
        <v>3.7157441649488003</v>
      </c>
      <c r="F12" s="42">
        <f t="shared" si="1"/>
        <v>5.1411440047648114</v>
      </c>
      <c r="G12" s="42">
        <f t="shared" si="1"/>
        <v>6.045503356368549</v>
      </c>
      <c r="H12" s="42">
        <f t="shared" si="1"/>
        <v>8.1146375597207872</v>
      </c>
      <c r="I12" s="42">
        <f t="shared" si="1"/>
        <v>9.7002512673107653</v>
      </c>
      <c r="J12" s="42">
        <f t="shared" si="1"/>
        <v>11.315938513376677</v>
      </c>
      <c r="K12" s="42">
        <f t="shared" si="1"/>
        <v>12.977253965952389</v>
      </c>
      <c r="L12" s="42">
        <f t="shared" si="1"/>
        <v>14.790238532728754</v>
      </c>
    </row>
    <row r="13" spans="2:12" ht="15" thickTop="1" x14ac:dyDescent="0.3"/>
    <row r="15" spans="2:12" ht="15" thickBot="1" x14ac:dyDescent="0.35">
      <c r="B15" s="62" t="s">
        <v>95</v>
      </c>
      <c r="C15" s="48"/>
    </row>
    <row r="16" spans="2:12" ht="15.6" thickTop="1" thickBot="1" x14ac:dyDescent="0.35">
      <c r="B16" s="46" t="s">
        <v>18</v>
      </c>
      <c r="C16" s="51" t="s">
        <v>89</v>
      </c>
      <c r="D16" s="4" t="s">
        <v>90</v>
      </c>
      <c r="E16" s="4" t="s">
        <v>1</v>
      </c>
      <c r="F16" s="4" t="s">
        <v>2</v>
      </c>
      <c r="G16" s="4" t="s">
        <v>3</v>
      </c>
      <c r="H16" s="4" t="s">
        <v>0</v>
      </c>
      <c r="I16" s="4" t="s">
        <v>4</v>
      </c>
      <c r="J16" s="4" t="s">
        <v>5</v>
      </c>
      <c r="K16" s="4" t="s">
        <v>6</v>
      </c>
      <c r="L16" s="4" t="s">
        <v>7</v>
      </c>
    </row>
    <row r="17" spans="2:12" ht="15.6" thickTop="1" thickBot="1" x14ac:dyDescent="0.35">
      <c r="B17" s="14"/>
      <c r="C17" s="52"/>
      <c r="D17" s="2"/>
      <c r="E17" s="2"/>
      <c r="F17" s="2"/>
      <c r="G17" s="2"/>
      <c r="H17" s="2"/>
      <c r="I17" s="2"/>
      <c r="J17" s="2"/>
      <c r="K17" s="2"/>
      <c r="L17" s="2"/>
    </row>
    <row r="18" spans="2:12" ht="15.6" thickTop="1" thickBot="1" x14ac:dyDescent="0.35">
      <c r="B18" s="4" t="s">
        <v>18</v>
      </c>
      <c r="C18" s="4" t="s">
        <v>20</v>
      </c>
      <c r="D18" s="4" t="s">
        <v>20</v>
      </c>
      <c r="E18" s="4" t="s">
        <v>20</v>
      </c>
      <c r="F18" s="4" t="s">
        <v>20</v>
      </c>
      <c r="G18" s="4" t="s">
        <v>20</v>
      </c>
      <c r="H18" s="4" t="s">
        <v>20</v>
      </c>
      <c r="I18" s="4" t="s">
        <v>20</v>
      </c>
      <c r="J18" s="4" t="s">
        <v>20</v>
      </c>
      <c r="K18" s="4" t="s">
        <v>20</v>
      </c>
      <c r="L18" s="4" t="s">
        <v>20</v>
      </c>
    </row>
    <row r="19" spans="2:12" ht="15.6" thickTop="1" thickBot="1" x14ac:dyDescent="0.35">
      <c r="B19" s="16"/>
      <c r="C19" s="16"/>
      <c r="D19" s="2"/>
      <c r="E19" s="2"/>
      <c r="F19" s="2"/>
      <c r="G19" s="2"/>
      <c r="H19" s="2"/>
      <c r="I19" s="2"/>
      <c r="J19" s="2"/>
      <c r="K19" s="2"/>
      <c r="L19" s="2"/>
    </row>
    <row r="20" spans="2:12" s="1" customFormat="1" ht="15.6" thickTop="1" thickBot="1" x14ac:dyDescent="0.35">
      <c r="B20" s="16" t="s">
        <v>91</v>
      </c>
      <c r="C20" s="54">
        <v>75000</v>
      </c>
      <c r="D20" s="54">
        <f t="shared" ref="D20:L20" si="2">D9*C20/C9</f>
        <v>131578.94736842107</v>
      </c>
      <c r="E20" s="54">
        <f t="shared" si="2"/>
        <v>164473.68421052635</v>
      </c>
      <c r="F20" s="54">
        <f t="shared" si="2"/>
        <v>205592.10526315792</v>
      </c>
      <c r="G20" s="54">
        <f t="shared" si="2"/>
        <v>256990.13157894742</v>
      </c>
      <c r="H20" s="58">
        <f t="shared" si="2"/>
        <v>321237.66447368427</v>
      </c>
      <c r="I20" s="54">
        <f t="shared" si="2"/>
        <v>379702.91940789478</v>
      </c>
      <c r="J20" s="54">
        <f t="shared" si="2"/>
        <v>448808.85074013163</v>
      </c>
      <c r="K20" s="54">
        <f t="shared" si="2"/>
        <v>530492.06157483556</v>
      </c>
      <c r="L20" s="58">
        <f t="shared" si="2"/>
        <v>627041.61678145558</v>
      </c>
    </row>
    <row r="21" spans="2:12" s="1" customFormat="1" ht="15.6" thickTop="1" thickBot="1" x14ac:dyDescent="0.35">
      <c r="B21" s="16" t="s">
        <v>9</v>
      </c>
      <c r="C21" s="54"/>
      <c r="D21" s="54">
        <f>'Final Employment Estimation'!E21</f>
        <v>60000</v>
      </c>
      <c r="E21" s="54">
        <f>'Final Employment Estimation'!H21</f>
        <v>81150.540173976042</v>
      </c>
      <c r="F21" s="54">
        <f>'Final Employment Estimation'!K21</f>
        <v>126900.76365012025</v>
      </c>
      <c r="G21" s="54">
        <f>'Final Employment Estimation'!N21</f>
        <v>133966.84203468892</v>
      </c>
      <c r="H21" s="58">
        <f>'Final Employment Estimation'!Q21</f>
        <v>215723.30503858865</v>
      </c>
      <c r="I21" s="54">
        <f>'Final Employment Estimation'!T21</f>
        <v>246891.52532455555</v>
      </c>
      <c r="J21" s="54">
        <f>'Final Employment Estimation'!W21</f>
        <v>282320.72892870876</v>
      </c>
      <c r="K21" s="54">
        <f>'Final Employment Estimation'!Z21</f>
        <v>307689.32374618627</v>
      </c>
      <c r="L21" s="58">
        <f>'Final Employment Estimation'!AC21</f>
        <v>351050.34155563085</v>
      </c>
    </row>
    <row r="22" spans="2:12" s="1" customFormat="1" ht="15.6" thickTop="1" thickBot="1" x14ac:dyDescent="0.35">
      <c r="B22" s="16" t="s">
        <v>94</v>
      </c>
      <c r="C22" s="54"/>
      <c r="D22" s="54">
        <f>'Final Employment Estimation'!E22</f>
        <v>100000</v>
      </c>
      <c r="E22" s="54">
        <f>'Final Employment Estimation'!H22</f>
        <v>125000</v>
      </c>
      <c r="F22" s="54">
        <f>'Final Employment Estimation'!K22</f>
        <v>143750</v>
      </c>
      <c r="G22" s="54">
        <f>'Final Employment Estimation'!N22</f>
        <v>165312.5</v>
      </c>
      <c r="H22" s="58">
        <f>'Final Employment Estimation'!Q22</f>
        <v>250000</v>
      </c>
      <c r="I22" s="54">
        <f>'Final Employment Estimation'!T22</f>
        <v>287500</v>
      </c>
      <c r="J22" s="54">
        <f>'Final Employment Estimation'!W22</f>
        <v>330625</v>
      </c>
      <c r="K22" s="54">
        <f>'Final Employment Estimation'!Z22</f>
        <v>380218.75000000006</v>
      </c>
      <c r="L22" s="58">
        <f>'Final Employment Estimation'!AC22</f>
        <v>587500</v>
      </c>
    </row>
    <row r="23" spans="2:12" ht="15.6" thickTop="1" thickBot="1" x14ac:dyDescent="0.35">
      <c r="B23" s="14" t="s">
        <v>27</v>
      </c>
      <c r="C23" s="50">
        <f>SUM(C20:C22)</f>
        <v>75000</v>
      </c>
      <c r="D23" s="50">
        <f>SUM(D20:D22)</f>
        <v>291578.94736842107</v>
      </c>
      <c r="E23" s="50">
        <f t="shared" ref="E23:L23" si="3">SUM(E20:E22)</f>
        <v>370624.22438450239</v>
      </c>
      <c r="F23" s="50">
        <f t="shared" si="3"/>
        <v>476242.86891327816</v>
      </c>
      <c r="G23" s="50">
        <f t="shared" si="3"/>
        <v>556269.47361363634</v>
      </c>
      <c r="H23" s="50">
        <f t="shared" si="3"/>
        <v>786960.96951227286</v>
      </c>
      <c r="I23" s="50">
        <f t="shared" si="3"/>
        <v>914094.4447324503</v>
      </c>
      <c r="J23" s="50">
        <f t="shared" si="3"/>
        <v>1061754.5796688404</v>
      </c>
      <c r="K23" s="50">
        <f t="shared" si="3"/>
        <v>1218400.1353210218</v>
      </c>
      <c r="L23" s="50">
        <f t="shared" si="3"/>
        <v>1565591.9583370865</v>
      </c>
    </row>
    <row r="24" spans="2:12" ht="15.6" thickTop="1" thickBot="1" x14ac:dyDescent="0.35">
      <c r="B24" s="14" t="s">
        <v>84</v>
      </c>
      <c r="C24" s="14">
        <f t="shared" ref="C24:L24" si="4">C23/1000000</f>
        <v>7.4999999999999997E-2</v>
      </c>
      <c r="D24" s="42">
        <f t="shared" si="4"/>
        <v>0.29157894736842105</v>
      </c>
      <c r="E24" s="42">
        <f t="shared" si="4"/>
        <v>0.37062422438450238</v>
      </c>
      <c r="F24" s="42">
        <f t="shared" si="4"/>
        <v>0.47624286891327816</v>
      </c>
      <c r="G24" s="42">
        <f t="shared" si="4"/>
        <v>0.55626947361363632</v>
      </c>
      <c r="H24" s="42">
        <f t="shared" si="4"/>
        <v>0.7869609695122729</v>
      </c>
      <c r="I24" s="42">
        <f t="shared" si="4"/>
        <v>0.91409444473245027</v>
      </c>
      <c r="J24" s="42">
        <f t="shared" si="4"/>
        <v>1.0617545796688403</v>
      </c>
      <c r="K24" s="42">
        <f t="shared" si="4"/>
        <v>1.2184001353210219</v>
      </c>
      <c r="L24" s="42">
        <f t="shared" si="4"/>
        <v>1.5655919583370865</v>
      </c>
    </row>
    <row r="25" spans="2:12" ht="15" thickTop="1" x14ac:dyDescent="0.3"/>
  </sheetData>
  <mergeCells count="1">
    <mergeCell ref="B2:C2"/>
  </mergeCells>
  <phoneticPr fontId="7" type="noConversion"/>
  <pageMargins left="0.7" right="0.7" top="0.75" bottom="0.75" header="0.3" footer="0.3"/>
  <pageSetup orientation="portrait" horizontalDpi="1200" verticalDpi="1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C709-A204-4B47-93EA-12769F213B72}">
  <dimension ref="B4:AC37"/>
  <sheetViews>
    <sheetView workbookViewId="0">
      <selection activeCell="J31" sqref="J31"/>
    </sheetView>
  </sheetViews>
  <sheetFormatPr defaultRowHeight="14.4" x14ac:dyDescent="0.3"/>
  <cols>
    <col min="2" max="2" width="38.88671875" bestFit="1" customWidth="1"/>
    <col min="3" max="3" width="43.109375" customWidth="1"/>
    <col min="4" max="4" width="13" bestFit="1" customWidth="1"/>
  </cols>
  <sheetData>
    <row r="4" spans="2:29" ht="15" thickBot="1" x14ac:dyDescent="0.35"/>
    <row r="5" spans="2:29" ht="15.6" thickTop="1" thickBot="1" x14ac:dyDescent="0.35">
      <c r="B5" s="59" t="s">
        <v>98</v>
      </c>
      <c r="C5" s="59" t="s">
        <v>146</v>
      </c>
      <c r="D5" s="67" t="s">
        <v>136</v>
      </c>
      <c r="E5" s="67" t="s">
        <v>137</v>
      </c>
      <c r="F5" s="67" t="s">
        <v>138</v>
      </c>
      <c r="G5" s="67" t="s">
        <v>139</v>
      </c>
      <c r="H5" s="67" t="s">
        <v>140</v>
      </c>
      <c r="I5" s="67" t="s">
        <v>141</v>
      </c>
      <c r="J5" s="67" t="s">
        <v>142</v>
      </c>
      <c r="K5" s="67" t="s">
        <v>143</v>
      </c>
      <c r="L5" s="67" t="s">
        <v>144</v>
      </c>
      <c r="M5" s="67" t="s">
        <v>145</v>
      </c>
      <c r="N5" s="67" t="s">
        <v>176</v>
      </c>
      <c r="O5" s="67" t="s">
        <v>177</v>
      </c>
      <c r="P5" s="67" t="s">
        <v>178</v>
      </c>
      <c r="Q5" s="67" t="s">
        <v>179</v>
      </c>
      <c r="R5" s="67" t="s">
        <v>180</v>
      </c>
      <c r="S5" s="67" t="s">
        <v>181</v>
      </c>
      <c r="T5" s="67" t="s">
        <v>182</v>
      </c>
      <c r="U5" s="67" t="s">
        <v>183</v>
      </c>
      <c r="V5" s="67" t="s">
        <v>184</v>
      </c>
      <c r="W5" s="67" t="s">
        <v>185</v>
      </c>
      <c r="X5" s="67" t="s">
        <v>186</v>
      </c>
      <c r="Y5" s="67" t="s">
        <v>187</v>
      </c>
      <c r="Z5" s="67" t="s">
        <v>188</v>
      </c>
      <c r="AA5" s="67" t="s">
        <v>189</v>
      </c>
      <c r="AB5" s="67" t="s">
        <v>190</v>
      </c>
      <c r="AC5" s="67" t="s">
        <v>191</v>
      </c>
    </row>
    <row r="6" spans="2:29" ht="15.6" thickTop="1" thickBot="1" x14ac:dyDescent="0.35">
      <c r="B6" s="2"/>
      <c r="C6" s="4"/>
      <c r="D6" s="4"/>
      <c r="E6" s="4"/>
      <c r="F6" s="4"/>
      <c r="G6" s="16"/>
      <c r="H6" s="16"/>
      <c r="I6" s="16"/>
      <c r="J6" s="16"/>
      <c r="K6" s="16"/>
      <c r="L6" s="16"/>
      <c r="M6" s="16"/>
    </row>
    <row r="7" spans="2:29" ht="15.6" thickTop="1" thickBot="1" x14ac:dyDescent="0.35">
      <c r="B7" s="4"/>
      <c r="C7" s="4"/>
      <c r="D7" s="68"/>
      <c r="E7" s="16"/>
      <c r="F7" s="16"/>
      <c r="G7" s="16"/>
      <c r="H7" s="16"/>
      <c r="I7" s="68"/>
      <c r="J7" s="16"/>
      <c r="K7" s="16"/>
      <c r="L7" s="16"/>
      <c r="M7" s="68"/>
    </row>
    <row r="8" spans="2:29" ht="15.6" thickTop="1" thickBot="1" x14ac:dyDescent="0.35">
      <c r="B8" s="60" t="s">
        <v>99</v>
      </c>
      <c r="C8" s="4" t="s">
        <v>96</v>
      </c>
      <c r="D8" s="68">
        <v>37</v>
      </c>
      <c r="E8" s="47">
        <f>D8+22%*D8</f>
        <v>45.14</v>
      </c>
      <c r="F8" s="47">
        <f t="shared" ref="F8:G8" si="0">E8+22%*E8</f>
        <v>55.070799999999998</v>
      </c>
      <c r="G8" s="47">
        <f t="shared" si="0"/>
        <v>67.186375999999996</v>
      </c>
      <c r="H8" s="47">
        <f>G8+22%*G8</f>
        <v>81.967378719999999</v>
      </c>
      <c r="I8" s="68">
        <v>100</v>
      </c>
      <c r="J8" s="47">
        <f>I8+10.67%*I8</f>
        <v>110.67</v>
      </c>
      <c r="K8" s="47">
        <f t="shared" ref="K8:N8" si="1">J8+10.67%*J8</f>
        <v>122.478489</v>
      </c>
      <c r="L8" s="47">
        <f t="shared" si="1"/>
        <v>135.5469437763</v>
      </c>
      <c r="M8" s="47">
        <f t="shared" si="1"/>
        <v>150.00980267723122</v>
      </c>
      <c r="N8" s="47">
        <f t="shared" si="1"/>
        <v>166.01584862289178</v>
      </c>
      <c r="O8" s="47">
        <f t="shared" ref="O8" si="2">N8+10.67%*N8</f>
        <v>183.72973967095433</v>
      </c>
      <c r="P8" s="47">
        <f t="shared" ref="P8" si="3">O8+10.67%*O8</f>
        <v>203.33370289384516</v>
      </c>
      <c r="Q8" s="47">
        <f t="shared" ref="Q8" si="4">P8+10.67%*P8</f>
        <v>225.02940899261844</v>
      </c>
      <c r="R8" s="47">
        <f t="shared" ref="R8" si="5">Q8+10.67%*Q8</f>
        <v>249.04004693213082</v>
      </c>
      <c r="S8" s="47">
        <f t="shared" ref="S8" si="6">R8+10.67%*R8</f>
        <v>275.61261993978917</v>
      </c>
      <c r="T8" s="47">
        <f t="shared" ref="T8" si="7">S8+10.67%*S8</f>
        <v>305.02048648736468</v>
      </c>
      <c r="U8" s="47">
        <f t="shared" ref="U8" si="8">T8+10.67%*T8</f>
        <v>337.56617239556647</v>
      </c>
      <c r="V8" s="47">
        <f t="shared" ref="V8" si="9">U8+10.67%*U8</f>
        <v>373.5844829901734</v>
      </c>
      <c r="W8" s="47">
        <f t="shared" ref="W8" si="10">V8+10.67%*V8</f>
        <v>413.44594732522489</v>
      </c>
      <c r="X8" s="47">
        <f t="shared" ref="X8" si="11">W8+10.67%*W8</f>
        <v>457.56062990482638</v>
      </c>
      <c r="Y8" s="47">
        <f t="shared" ref="Y8" si="12">X8+10.67%*X8</f>
        <v>506.38234911567133</v>
      </c>
      <c r="Z8" s="47">
        <f t="shared" ref="Z8" si="13">Y8+10.67%*Y8</f>
        <v>560.41334576631345</v>
      </c>
      <c r="AA8" s="47">
        <f t="shared" ref="AA8" si="14">Z8+10.67%*Z8</f>
        <v>620.20944975957912</v>
      </c>
      <c r="AB8" s="47">
        <f t="shared" ref="AB8" si="15">AA8+10.67%*AA8</f>
        <v>686.38579804892618</v>
      </c>
      <c r="AC8" s="47">
        <f t="shared" ref="AC8" si="16">AB8+10.67%*AB8</f>
        <v>759.62316270074666</v>
      </c>
    </row>
    <row r="9" spans="2:29" ht="15.6" thickTop="1" thickBot="1" x14ac:dyDescent="0.35">
      <c r="B9" s="4"/>
      <c r="C9" s="4"/>
      <c r="D9" s="68"/>
      <c r="E9" s="16"/>
      <c r="F9" s="16"/>
      <c r="G9" s="16"/>
      <c r="H9" s="16"/>
      <c r="I9" s="68"/>
      <c r="J9" s="16"/>
      <c r="K9" s="16"/>
      <c r="L9" s="16"/>
      <c r="M9" s="68"/>
    </row>
    <row r="10" spans="2:29" ht="15.6" thickTop="1" thickBot="1" x14ac:dyDescent="0.35">
      <c r="B10" s="60" t="s">
        <v>164</v>
      </c>
      <c r="C10" s="4" t="s">
        <v>97</v>
      </c>
      <c r="D10" s="68">
        <v>13000</v>
      </c>
      <c r="E10" s="47">
        <f t="shared" ref="E10:M10" si="17">D10+13.97%*D10</f>
        <v>14816.1</v>
      </c>
      <c r="F10" s="47">
        <f t="shared" si="17"/>
        <v>16885.909169999999</v>
      </c>
      <c r="G10" s="47">
        <f t="shared" si="17"/>
        <v>19244.870681049</v>
      </c>
      <c r="H10" s="47">
        <f t="shared" si="17"/>
        <v>21933.379115191547</v>
      </c>
      <c r="I10" s="83">
        <f t="shared" si="17"/>
        <v>24997.472177583804</v>
      </c>
      <c r="J10" s="47">
        <f t="shared" si="17"/>
        <v>28489.619040792262</v>
      </c>
      <c r="K10" s="47">
        <f t="shared" si="17"/>
        <v>32469.618820790944</v>
      </c>
      <c r="L10" s="47">
        <f t="shared" si="17"/>
        <v>37005.624570055443</v>
      </c>
      <c r="M10" s="47">
        <f t="shared" si="17"/>
        <v>42175.310322492187</v>
      </c>
      <c r="N10" s="47">
        <f t="shared" ref="N10" si="18">M10+13.97%*M10</f>
        <v>48067.201174544345</v>
      </c>
      <c r="O10" s="47">
        <f t="shared" ref="O10" si="19">N10+13.97%*N10</f>
        <v>54782.189178628192</v>
      </c>
      <c r="P10" s="47">
        <f t="shared" ref="P10" si="20">O10+13.97%*O10</f>
        <v>62435.261006882552</v>
      </c>
      <c r="Q10" s="47">
        <f t="shared" ref="Q10" si="21">P10+13.97%*P10</f>
        <v>71157.466969544039</v>
      </c>
      <c r="R10" s="47">
        <f t="shared" ref="R10" si="22">Q10+13.97%*Q10</f>
        <v>81098.165105189342</v>
      </c>
      <c r="S10" s="47">
        <f t="shared" ref="S10" si="23">R10+13.97%*R10</f>
        <v>92427.578770384294</v>
      </c>
      <c r="T10" s="47">
        <f t="shared" ref="T10" si="24">S10+13.97%*S10</f>
        <v>105339.71152460699</v>
      </c>
      <c r="U10" s="47">
        <f t="shared" ref="U10" si="25">T10+13.97%*T10</f>
        <v>120055.66922459459</v>
      </c>
      <c r="V10" s="47">
        <f t="shared" ref="V10" si="26">U10+13.97%*U10</f>
        <v>136827.44621527047</v>
      </c>
      <c r="W10" s="47">
        <f t="shared" ref="W10" si="27">V10+13.97%*V10</f>
        <v>155942.24045154377</v>
      </c>
      <c r="X10" s="47">
        <f t="shared" ref="X10" si="28">W10+13.97%*W10</f>
        <v>177727.37144262443</v>
      </c>
      <c r="Y10" s="47">
        <f t="shared" ref="Y10" si="29">X10+13.97%*X10</f>
        <v>202555.88523315906</v>
      </c>
      <c r="Z10" s="47">
        <f t="shared" ref="Z10" si="30">Y10+13.97%*Y10</f>
        <v>230852.94240023138</v>
      </c>
      <c r="AA10" s="47">
        <f t="shared" ref="AA10" si="31">Z10+13.97%*Z10</f>
        <v>263103.09845354373</v>
      </c>
      <c r="AB10" s="47">
        <f t="shared" ref="AB10" si="32">AA10+13.97%*AA10</f>
        <v>299858.60130750376</v>
      </c>
      <c r="AC10" s="47">
        <f t="shared" ref="AC10" si="33">AB10+13.97%*AB10</f>
        <v>341748.84791016206</v>
      </c>
    </row>
    <row r="11" spans="2:29" ht="15.6" thickTop="1" thickBot="1" x14ac:dyDescent="0.35">
      <c r="B11" s="2"/>
      <c r="C11" s="16"/>
      <c r="D11" s="2"/>
      <c r="E11" s="2"/>
      <c r="F11" s="2"/>
      <c r="G11" s="2"/>
      <c r="H11" s="2"/>
      <c r="I11" s="2"/>
      <c r="J11" s="2"/>
      <c r="K11" s="2"/>
      <c r="L11" s="2"/>
      <c r="M11" s="2"/>
    </row>
    <row r="12" spans="2:29" ht="15.6" thickTop="1" thickBot="1" x14ac:dyDescent="0.35">
      <c r="B12" s="63"/>
      <c r="C12" s="60" t="s">
        <v>103</v>
      </c>
      <c r="D12" s="66">
        <f>D13/D14</f>
        <v>1.5209125475285171E-2</v>
      </c>
      <c r="E12" s="66">
        <f>E13/E14</f>
        <v>1.8055555555555557E-2</v>
      </c>
      <c r="F12" s="66">
        <f t="shared" ref="F12:AC12" si="34">F13/F14</f>
        <v>2.1435819381024859E-2</v>
      </c>
      <c r="G12" s="66">
        <f t="shared" si="34"/>
        <v>2.5448917986604855E-2</v>
      </c>
      <c r="H12" s="66">
        <f t="shared" si="34"/>
        <v>3.0213327290033162E-2</v>
      </c>
      <c r="I12" s="66">
        <f t="shared" si="34"/>
        <v>3.3110495660310317E-2</v>
      </c>
      <c r="J12" s="66">
        <f t="shared" si="34"/>
        <v>3.7797369475240095E-2</v>
      </c>
      <c r="K12" s="66">
        <f t="shared" si="34"/>
        <v>4.3147682049360835E-2</v>
      </c>
      <c r="L12" s="66">
        <f t="shared" si="34"/>
        <v>4.9255344805206429E-2</v>
      </c>
      <c r="M12" s="66">
        <f t="shared" si="34"/>
        <v>5.3978460060500201E-2</v>
      </c>
      <c r="N12" s="66">
        <f t="shared" si="34"/>
        <v>5.9154476778630359E-2</v>
      </c>
      <c r="O12" s="66">
        <f t="shared" si="34"/>
        <v>6.4826823866992164E-2</v>
      </c>
      <c r="P12" s="66">
        <f t="shared" si="34"/>
        <v>7.1043094648758548E-2</v>
      </c>
      <c r="Q12" s="66">
        <f t="shared" si="34"/>
        <v>7.7855446190420313E-2</v>
      </c>
      <c r="R12" s="66">
        <f t="shared" si="34"/>
        <v>8.5321036921008564E-2</v>
      </c>
      <c r="S12" s="66">
        <f t="shared" si="34"/>
        <v>9.350250621480391E-2</v>
      </c>
      <c r="T12" s="66">
        <f t="shared" si="34"/>
        <v>0.10246849996142895</v>
      </c>
      <c r="U12" s="66">
        <f t="shared" si="34"/>
        <v>0.11229424653307284</v>
      </c>
      <c r="V12" s="66">
        <f t="shared" si="34"/>
        <v>0.12306218798144969</v>
      </c>
      <c r="W12" s="66">
        <f t="shared" si="34"/>
        <v>0.1348626717604928</v>
      </c>
      <c r="X12" s="66">
        <f t="shared" si="34"/>
        <v>0.14779470877862227</v>
      </c>
      <c r="Y12" s="66">
        <f t="shared" si="34"/>
        <v>0.16196680414095591</v>
      </c>
      <c r="Z12" s="66">
        <f t="shared" si="34"/>
        <v>0.1774978675517325</v>
      </c>
      <c r="AA12" s="66">
        <f t="shared" si="34"/>
        <v>0.19451821101559724</v>
      </c>
      <c r="AB12" s="66">
        <f t="shared" si="34"/>
        <v>0.21317064220887372</v>
      </c>
      <c r="AC12" s="66">
        <f t="shared" si="34"/>
        <v>0.23361166269465611</v>
      </c>
    </row>
    <row r="13" spans="2:29" ht="15.6" thickTop="1" thickBot="1" x14ac:dyDescent="0.35">
      <c r="B13" s="60" t="s">
        <v>163</v>
      </c>
      <c r="C13" s="4" t="s">
        <v>105</v>
      </c>
      <c r="D13" s="4">
        <f>'Estimation of Revenue'!E10</f>
        <v>4</v>
      </c>
      <c r="E13" s="4">
        <f>'Estimation of Revenue'!O10</f>
        <v>5.2</v>
      </c>
      <c r="F13" s="64">
        <f>'Estimation of Revenue'!R10</f>
        <v>6.76</v>
      </c>
      <c r="G13" s="64">
        <f>'Estimation of Revenue'!U10</f>
        <v>8.7880000000000003</v>
      </c>
      <c r="H13" s="64">
        <f>'Estimation of Revenue'!X10</f>
        <v>11.4244</v>
      </c>
      <c r="I13" s="64">
        <f>'Estimation of Revenue'!AA10</f>
        <v>13.70928</v>
      </c>
      <c r="J13" s="64">
        <f>'Estimation of Revenue'!AD10</f>
        <v>17.136600000000001</v>
      </c>
      <c r="K13" s="64">
        <f>'Estimation of Revenue'!AG10</f>
        <v>21.420750000000002</v>
      </c>
      <c r="L13" s="64">
        <f>'Estimation of Revenue'!AJ10</f>
        <v>26.775937500000001</v>
      </c>
      <c r="M13" s="64">
        <f>'Estimation of Revenue'!AM10</f>
        <v>32.131125000000004</v>
      </c>
      <c r="N13" s="29">
        <f>M13+20%*M13</f>
        <v>38.557350000000007</v>
      </c>
      <c r="O13" s="29">
        <f t="shared" ref="O13:AC13" si="35">N13+20%*N13</f>
        <v>46.268820000000005</v>
      </c>
      <c r="P13" s="29">
        <f t="shared" si="35"/>
        <v>55.522584000000009</v>
      </c>
      <c r="Q13" s="29">
        <f t="shared" si="35"/>
        <v>66.627100800000008</v>
      </c>
      <c r="R13" s="29">
        <f t="shared" si="35"/>
        <v>79.952520960000015</v>
      </c>
      <c r="S13" s="29">
        <f t="shared" si="35"/>
        <v>95.943025152000018</v>
      </c>
      <c r="T13" s="29">
        <f t="shared" si="35"/>
        <v>115.13163018240002</v>
      </c>
      <c r="U13" s="29">
        <f t="shared" si="35"/>
        <v>138.15795621888003</v>
      </c>
      <c r="V13" s="29">
        <f t="shared" si="35"/>
        <v>165.78954746265603</v>
      </c>
      <c r="W13" s="29">
        <f t="shared" si="35"/>
        <v>198.94745695518725</v>
      </c>
      <c r="X13" s="29">
        <f t="shared" si="35"/>
        <v>238.73694834622469</v>
      </c>
      <c r="Y13" s="29">
        <f t="shared" si="35"/>
        <v>286.48433801546963</v>
      </c>
      <c r="Z13" s="29">
        <f t="shared" si="35"/>
        <v>343.78120561856355</v>
      </c>
      <c r="AA13" s="29">
        <f t="shared" si="35"/>
        <v>412.53744674227625</v>
      </c>
      <c r="AB13" s="29">
        <f t="shared" si="35"/>
        <v>495.04493609073148</v>
      </c>
      <c r="AC13" s="29">
        <f t="shared" si="35"/>
        <v>594.05392330887776</v>
      </c>
    </row>
    <row r="14" spans="2:29" ht="15.6" thickTop="1" thickBot="1" x14ac:dyDescent="0.35">
      <c r="B14" s="60" t="s">
        <v>106</v>
      </c>
      <c r="C14" s="4" t="s">
        <v>107</v>
      </c>
      <c r="D14" s="4">
        <v>263</v>
      </c>
      <c r="E14" s="4">
        <v>288</v>
      </c>
      <c r="F14" s="65">
        <f>E14+9.5%*E14</f>
        <v>315.36</v>
      </c>
      <c r="G14" s="65">
        <f t="shared" ref="G14:M14" si="36">F14+9.5%*F14</f>
        <v>345.31920000000002</v>
      </c>
      <c r="H14" s="65">
        <f t="shared" si="36"/>
        <v>378.12452400000001</v>
      </c>
      <c r="I14" s="65">
        <f t="shared" si="36"/>
        <v>414.04635378</v>
      </c>
      <c r="J14" s="65">
        <f t="shared" si="36"/>
        <v>453.38075738909998</v>
      </c>
      <c r="K14" s="65">
        <f t="shared" si="36"/>
        <v>496.4519293410645</v>
      </c>
      <c r="L14" s="65">
        <f t="shared" si="36"/>
        <v>543.61486262846563</v>
      </c>
      <c r="M14" s="65">
        <f t="shared" si="36"/>
        <v>595.2582745781699</v>
      </c>
      <c r="N14" s="65">
        <f t="shared" ref="N14" si="37">M14+9.5%*M14</f>
        <v>651.80781066309601</v>
      </c>
      <c r="O14" s="65">
        <f t="shared" ref="O14" si="38">N14+9.5%*N14</f>
        <v>713.72955267609018</v>
      </c>
      <c r="P14" s="65">
        <f t="shared" ref="P14" si="39">O14+9.5%*O14</f>
        <v>781.5338601803187</v>
      </c>
      <c r="Q14" s="65">
        <f t="shared" ref="Q14" si="40">P14+9.5%*P14</f>
        <v>855.77957689744903</v>
      </c>
      <c r="R14" s="65">
        <f t="shared" ref="R14" si="41">Q14+9.5%*Q14</f>
        <v>937.07863670270672</v>
      </c>
      <c r="S14" s="65">
        <f t="shared" ref="S14" si="42">R14+9.5%*R14</f>
        <v>1026.1011071894638</v>
      </c>
      <c r="T14" s="65">
        <f t="shared" ref="T14" si="43">S14+9.5%*S14</f>
        <v>1123.5807123724628</v>
      </c>
      <c r="U14" s="65">
        <f t="shared" ref="U14" si="44">T14+9.5%*T14</f>
        <v>1230.3208800478467</v>
      </c>
      <c r="V14" s="65">
        <f t="shared" ref="V14" si="45">U14+9.5%*U14</f>
        <v>1347.201363652392</v>
      </c>
      <c r="W14" s="65">
        <f t="shared" ref="W14" si="46">V14+9.5%*V14</f>
        <v>1475.1854931993694</v>
      </c>
      <c r="X14" s="65">
        <f t="shared" ref="X14" si="47">W14+9.5%*W14</f>
        <v>1615.3281150533094</v>
      </c>
      <c r="Y14" s="65">
        <f t="shared" ref="Y14" si="48">X14+9.5%*X14</f>
        <v>1768.7842859833738</v>
      </c>
      <c r="Z14" s="65">
        <f t="shared" ref="Z14" si="49">Y14+9.5%*Y14</f>
        <v>1936.8187931517944</v>
      </c>
      <c r="AA14" s="65">
        <f t="shared" ref="AA14" si="50">Z14+9.5%*Z14</f>
        <v>2120.8165785012147</v>
      </c>
      <c r="AB14" s="65">
        <f t="shared" ref="AB14" si="51">AA14+9.5%*AA14</f>
        <v>2322.2941534588299</v>
      </c>
      <c r="AC14" s="65">
        <f t="shared" ref="AC14" si="52">AB14+9.5%*AB14</f>
        <v>2542.9120980374187</v>
      </c>
    </row>
    <row r="15" spans="2:29" ht="15" thickTop="1" x14ac:dyDescent="0.3">
      <c r="C15" s="90" t="s">
        <v>192</v>
      </c>
      <c r="I15">
        <v>129729</v>
      </c>
      <c r="J15">
        <v>136383</v>
      </c>
      <c r="K15">
        <f>J15+5%*J15</f>
        <v>143202.15</v>
      </c>
      <c r="L15">
        <f>K15+5%*K15</f>
        <v>150362.25750000001</v>
      </c>
      <c r="M15">
        <f t="shared" ref="M15:AC15" si="53">L15+5%*L15</f>
        <v>157880.370375</v>
      </c>
      <c r="N15">
        <f t="shared" si="53"/>
        <v>165774.38889375</v>
      </c>
      <c r="O15">
        <f t="shared" si="53"/>
        <v>174063.10833843751</v>
      </c>
      <c r="P15">
        <f t="shared" si="53"/>
        <v>182766.2637553594</v>
      </c>
      <c r="Q15">
        <f t="shared" si="53"/>
        <v>191904.57694312738</v>
      </c>
      <c r="R15">
        <f t="shared" si="53"/>
        <v>201499.80579028375</v>
      </c>
      <c r="S15">
        <f t="shared" si="53"/>
        <v>211574.79607979793</v>
      </c>
      <c r="T15">
        <f t="shared" si="53"/>
        <v>222153.53588378784</v>
      </c>
      <c r="U15">
        <f t="shared" si="53"/>
        <v>233261.21267797722</v>
      </c>
      <c r="V15">
        <f t="shared" si="53"/>
        <v>244924.27331187608</v>
      </c>
      <c r="W15">
        <f t="shared" si="53"/>
        <v>257170.48697746987</v>
      </c>
      <c r="X15">
        <f t="shared" si="53"/>
        <v>270029.01132634334</v>
      </c>
      <c r="Y15">
        <f t="shared" si="53"/>
        <v>283530.46189266053</v>
      </c>
      <c r="Z15">
        <f t="shared" si="53"/>
        <v>297706.98498729354</v>
      </c>
      <c r="AA15">
        <f t="shared" si="53"/>
        <v>312592.33423665824</v>
      </c>
      <c r="AB15">
        <f t="shared" si="53"/>
        <v>328221.95094849117</v>
      </c>
      <c r="AC15">
        <f t="shared" si="53"/>
        <v>344633.04849591572</v>
      </c>
    </row>
    <row r="16" spans="2:29" x14ac:dyDescent="0.3">
      <c r="C16" s="90" t="s">
        <v>193</v>
      </c>
      <c r="I16" s="84">
        <f>I13/I15</f>
        <v>1.0567629442915617E-4</v>
      </c>
      <c r="J16">
        <f>J15-I15</f>
        <v>6654</v>
      </c>
      <c r="K16" s="43">
        <f>J16/I15*100</f>
        <v>5.1291538514904147</v>
      </c>
      <c r="L16" s="84">
        <f>L13/L15</f>
        <v>1.7807618710433368E-4</v>
      </c>
      <c r="M16" s="84">
        <f t="shared" ref="M16:AC16" si="54">M13/M15</f>
        <v>2.0351564240495281E-4</v>
      </c>
      <c r="N16" s="84">
        <f t="shared" si="54"/>
        <v>2.3258930560566036E-4</v>
      </c>
      <c r="O16" s="84">
        <f t="shared" si="54"/>
        <v>2.6581634926361178E-4</v>
      </c>
      <c r="P16" s="84">
        <f t="shared" si="54"/>
        <v>3.0379011344412775E-4</v>
      </c>
      <c r="Q16" s="84">
        <f t="shared" si="54"/>
        <v>3.4718870107900313E-4</v>
      </c>
      <c r="R16" s="84">
        <f t="shared" si="54"/>
        <v>3.9678708694743217E-4</v>
      </c>
      <c r="S16" s="84">
        <f t="shared" si="54"/>
        <v>4.5347095651135106E-4</v>
      </c>
      <c r="T16" s="84">
        <f t="shared" si="54"/>
        <v>5.1825252172725826E-4</v>
      </c>
      <c r="U16" s="84">
        <f t="shared" si="54"/>
        <v>5.9228859625972384E-4</v>
      </c>
      <c r="V16" s="84">
        <f t="shared" si="54"/>
        <v>6.7690125286825578E-4</v>
      </c>
      <c r="W16" s="84">
        <f t="shared" si="54"/>
        <v>7.7360143184943529E-4</v>
      </c>
      <c r="X16" s="84">
        <f t="shared" si="54"/>
        <v>8.8411592211364042E-4</v>
      </c>
      <c r="Y16" s="84">
        <f t="shared" si="54"/>
        <v>1.0104181967013032E-3</v>
      </c>
      <c r="Z16" s="84">
        <f t="shared" si="54"/>
        <v>1.1547636533729181E-3</v>
      </c>
      <c r="AA16" s="84">
        <f t="shared" si="54"/>
        <v>1.319729889569049E-3</v>
      </c>
      <c r="AB16" s="84">
        <f t="shared" si="54"/>
        <v>1.5082627309360558E-3</v>
      </c>
      <c r="AC16" s="84">
        <f t="shared" si="54"/>
        <v>1.7237288353554926E-3</v>
      </c>
    </row>
    <row r="17" spans="2:13" x14ac:dyDescent="0.3">
      <c r="C17" t="s">
        <v>165</v>
      </c>
      <c r="D17">
        <f>64.6+17.1</f>
        <v>81.699999999999989</v>
      </c>
      <c r="E17">
        <v>92</v>
      </c>
      <c r="F17">
        <v>103.65</v>
      </c>
      <c r="G17">
        <v>116.77</v>
      </c>
      <c r="H17">
        <f>101.65+29.91</f>
        <v>131.56</v>
      </c>
      <c r="I17">
        <v>145.31</v>
      </c>
      <c r="J17">
        <v>160.51</v>
      </c>
      <c r="K17">
        <v>177.31</v>
      </c>
      <c r="L17">
        <v>195.89</v>
      </c>
    </row>
    <row r="18" spans="2:13" x14ac:dyDescent="0.3">
      <c r="C18" t="s">
        <v>167</v>
      </c>
      <c r="D18" s="84">
        <f>D17/D14</f>
        <v>0.3106463878326996</v>
      </c>
      <c r="E18" s="84">
        <f>E17/E14</f>
        <v>0.31944444444444442</v>
      </c>
      <c r="F18" s="84">
        <f>F17/F14</f>
        <v>0.32867199391171992</v>
      </c>
      <c r="G18" s="84">
        <f>G17/G14</f>
        <v>0.33815090501773426</v>
      </c>
      <c r="H18" s="84">
        <f t="shared" ref="H18:L18" si="55">H17/H14</f>
        <v>0.34792771071362721</v>
      </c>
      <c r="I18" s="84">
        <f t="shared" si="55"/>
        <v>0.350951043701762</v>
      </c>
      <c r="J18" s="84">
        <f t="shared" si="55"/>
        <v>0.35402914081385961</v>
      </c>
      <c r="K18" s="84">
        <f t="shared" si="55"/>
        <v>0.35715441822401967</v>
      </c>
      <c r="L18" s="84">
        <f t="shared" si="55"/>
        <v>0.36034702777043331</v>
      </c>
    </row>
    <row r="19" spans="2:13" x14ac:dyDescent="0.3">
      <c r="C19" t="s">
        <v>166</v>
      </c>
      <c r="D19">
        <v>17.98</v>
      </c>
      <c r="E19">
        <v>24.31</v>
      </c>
      <c r="F19">
        <v>31.48</v>
      </c>
      <c r="G19">
        <v>40.090000000000003</v>
      </c>
      <c r="H19">
        <v>63.7</v>
      </c>
      <c r="I19">
        <v>72.19</v>
      </c>
      <c r="J19">
        <v>81.95</v>
      </c>
      <c r="K19">
        <v>92.19</v>
      </c>
      <c r="L19">
        <v>105.18</v>
      </c>
    </row>
    <row r="20" spans="2:13" x14ac:dyDescent="0.3">
      <c r="C20" t="s">
        <v>168</v>
      </c>
      <c r="D20" s="84">
        <f>D19/D14</f>
        <v>6.8365019011406847E-2</v>
      </c>
      <c r="E20" s="84">
        <f t="shared" ref="E20:L20" si="56">E19/E14</f>
        <v>8.4409722222222219E-2</v>
      </c>
      <c r="F20" s="84">
        <f t="shared" si="56"/>
        <v>9.9822425164890913E-2</v>
      </c>
      <c r="G20" s="84">
        <f t="shared" si="56"/>
        <v>0.11609548498896094</v>
      </c>
      <c r="H20" s="84">
        <f t="shared" si="56"/>
        <v>0.16846302198584717</v>
      </c>
      <c r="I20" s="84">
        <f t="shared" si="56"/>
        <v>0.17435245918952721</v>
      </c>
      <c r="J20" s="84">
        <f t="shared" si="56"/>
        <v>0.18075314989530744</v>
      </c>
      <c r="K20" s="84">
        <f t="shared" si="56"/>
        <v>0.18569773738690637</v>
      </c>
      <c r="L20" s="84">
        <f t="shared" si="56"/>
        <v>0.19348256869107244</v>
      </c>
    </row>
    <row r="21" spans="2:13" x14ac:dyDescent="0.3">
      <c r="C21" t="s">
        <v>200</v>
      </c>
      <c r="D21" s="7">
        <f>'Estimation of Revenue'!G29</f>
        <v>3.2030806450399996</v>
      </c>
      <c r="I21" s="92">
        <f>'Estimation of Revenue'!AB29</f>
        <v>11.732320175532891</v>
      </c>
      <c r="M21" s="91">
        <v>14.79</v>
      </c>
    </row>
    <row r="22" spans="2:13" x14ac:dyDescent="0.3">
      <c r="C22" t="s">
        <v>199</v>
      </c>
      <c r="D22" s="84">
        <f>D21/D14</f>
        <v>1.2179013859467678E-2</v>
      </c>
      <c r="I22" s="84">
        <f>I21/I14</f>
        <v>2.8335764989653209E-2</v>
      </c>
      <c r="J22" s="84">
        <f t="shared" ref="J22:L22" si="57">J21/J14</f>
        <v>0</v>
      </c>
      <c r="K22" s="84">
        <f t="shared" si="57"/>
        <v>0</v>
      </c>
      <c r="L22" s="84">
        <f t="shared" si="57"/>
        <v>0</v>
      </c>
      <c r="M22" s="84">
        <f>M21/M14</f>
        <v>2.4846357676390034E-2</v>
      </c>
    </row>
    <row r="23" spans="2:13" x14ac:dyDescent="0.3">
      <c r="B23" s="71" t="s">
        <v>108</v>
      </c>
    </row>
    <row r="25" spans="2:13" x14ac:dyDescent="0.3">
      <c r="B25" s="71" t="s">
        <v>194</v>
      </c>
    </row>
    <row r="32" spans="2:13" x14ac:dyDescent="0.3">
      <c r="C32" t="s">
        <v>201</v>
      </c>
      <c r="D32" t="s">
        <v>126</v>
      </c>
      <c r="E32" t="s">
        <v>170</v>
      </c>
      <c r="F32" t="s">
        <v>171</v>
      </c>
    </row>
    <row r="34" spans="3:6" x14ac:dyDescent="0.3">
      <c r="C34" t="s">
        <v>11</v>
      </c>
      <c r="D34">
        <v>2.94</v>
      </c>
      <c r="E34">
        <v>5.72</v>
      </c>
      <c r="F34">
        <v>9.5500000000000007</v>
      </c>
    </row>
    <row r="35" spans="3:6" x14ac:dyDescent="0.3">
      <c r="C35" t="s">
        <v>20</v>
      </c>
      <c r="D35">
        <v>0.28999999999999998</v>
      </c>
      <c r="E35">
        <v>0.81</v>
      </c>
      <c r="F35">
        <v>1.56</v>
      </c>
    </row>
    <row r="37" spans="3:6" x14ac:dyDescent="0.3">
      <c r="D37" s="7">
        <f>D35/D34*100</f>
        <v>9.8639455782312915</v>
      </c>
      <c r="E37" s="7">
        <f t="shared" ref="E37:F37" si="58">E35/E34*100</f>
        <v>14.160839160839162</v>
      </c>
      <c r="F37" s="7">
        <f t="shared" si="58"/>
        <v>16.335078534031414</v>
      </c>
    </row>
  </sheetData>
  <phoneticPr fontId="7" type="noConversion"/>
  <hyperlinks>
    <hyperlink ref="B23" r:id="rId1" xr:uid="{29D978E3-3A73-49C3-8739-A1CD33D5A2B3}"/>
    <hyperlink ref="B25" r:id="rId2" display="https://www.statista.com/statistics/268750/global-gross-domestic-product-gdp/" xr:uid="{161DD628-934C-4343-935F-79DC6BBE4010}"/>
  </hyperlinks>
  <pageMargins left="0.7" right="0.7" top="0.75" bottom="0.75" header="0.3" footer="0.3"/>
  <pageSetup orientation="portrait" horizontalDpi="1200" verticalDpi="1200" r:id="rId3"/>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26EBF-43D6-4194-8856-5699A2262BBF}">
  <dimension ref="D4:E32"/>
  <sheetViews>
    <sheetView workbookViewId="0">
      <selection activeCell="U28" sqref="U28"/>
    </sheetView>
  </sheetViews>
  <sheetFormatPr defaultRowHeight="14.4" x14ac:dyDescent="0.3"/>
  <cols>
    <col min="4" max="4" width="23.21875" bestFit="1" customWidth="1"/>
  </cols>
  <sheetData>
    <row r="4" spans="4:5" x14ac:dyDescent="0.3">
      <c r="D4" t="s">
        <v>202</v>
      </c>
      <c r="E4">
        <v>11</v>
      </c>
    </row>
    <row r="5" spans="4:5" x14ac:dyDescent="0.3">
      <c r="D5" t="s">
        <v>203</v>
      </c>
      <c r="E5">
        <v>0.2</v>
      </c>
    </row>
    <row r="6" spans="4:5" x14ac:dyDescent="0.3">
      <c r="D6" t="s">
        <v>204</v>
      </c>
      <c r="E6">
        <v>100</v>
      </c>
    </row>
    <row r="31" spans="4:5" x14ac:dyDescent="0.3">
      <c r="D31" t="s">
        <v>202</v>
      </c>
      <c r="E31">
        <v>0.2</v>
      </c>
    </row>
    <row r="32" spans="4:5" x14ac:dyDescent="0.3">
      <c r="D32" t="s">
        <v>203</v>
      </c>
      <c r="E32">
        <v>0.25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6AB66-021C-40B0-8A2F-5F6352D8C386}">
  <dimension ref="B3:F5"/>
  <sheetViews>
    <sheetView workbookViewId="0">
      <selection activeCell="R13" sqref="R13"/>
    </sheetView>
  </sheetViews>
  <sheetFormatPr defaultRowHeight="14.4" x14ac:dyDescent="0.3"/>
  <sheetData>
    <row r="3" spans="2:6" x14ac:dyDescent="0.3">
      <c r="C3" t="s">
        <v>90</v>
      </c>
      <c r="D3" t="s">
        <v>1</v>
      </c>
      <c r="E3" t="s">
        <v>4</v>
      </c>
      <c r="F3" t="s">
        <v>7</v>
      </c>
    </row>
    <row r="4" spans="2:6" x14ac:dyDescent="0.3">
      <c r="B4" t="s">
        <v>10</v>
      </c>
      <c r="C4">
        <v>400</v>
      </c>
      <c r="D4">
        <v>500</v>
      </c>
      <c r="E4">
        <v>1000</v>
      </c>
      <c r="F4">
        <v>3000</v>
      </c>
    </row>
    <row r="5" spans="2:6" x14ac:dyDescent="0.3">
      <c r="B5" t="s">
        <v>11</v>
      </c>
      <c r="C5">
        <v>110</v>
      </c>
      <c r="D5">
        <v>130</v>
      </c>
      <c r="E5">
        <v>250</v>
      </c>
      <c r="F5">
        <v>500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CFD5F-8177-4D0E-AE3D-A4C7FF6734D7}">
  <dimension ref="B1:AN61"/>
  <sheetViews>
    <sheetView tabSelected="1" zoomScaleNormal="100" workbookViewId="0">
      <pane xSplit="2" ySplit="5" topLeftCell="C6" activePane="bottomRight" state="frozen"/>
      <selection pane="topRight" activeCell="C1" sqref="C1"/>
      <selection pane="bottomLeft" activeCell="A6" sqref="A6"/>
      <selection pane="bottomRight" activeCell="K16" sqref="K16"/>
    </sheetView>
  </sheetViews>
  <sheetFormatPr defaultRowHeight="14.4" x14ac:dyDescent="0.3"/>
  <cols>
    <col min="3" max="3" width="55.5546875" bestFit="1" customWidth="1"/>
    <col min="4" max="4" width="10.77734375" customWidth="1"/>
    <col min="5" max="5" width="19.33203125" customWidth="1"/>
    <col min="6" max="6" width="23.6640625" bestFit="1" customWidth="1"/>
    <col min="7" max="7" width="17.77734375" bestFit="1" customWidth="1"/>
    <col min="9" max="9" width="16.109375" bestFit="1" customWidth="1"/>
    <col min="11" max="11" width="13.5546875" bestFit="1" customWidth="1"/>
    <col min="13" max="13" width="61.6640625" bestFit="1" customWidth="1"/>
    <col min="14" max="14" width="11.33203125" bestFit="1" customWidth="1"/>
    <col min="15" max="15" width="12.44140625" customWidth="1"/>
    <col min="16" max="16" width="16.21875" bestFit="1" customWidth="1"/>
    <col min="17" max="17" width="11.77734375" customWidth="1"/>
    <col min="18" max="18" width="10.33203125" customWidth="1"/>
    <col min="19" max="19" width="16.21875" customWidth="1"/>
    <col min="20" max="20" width="11.33203125" customWidth="1"/>
    <col min="21" max="21" width="10.88671875" customWidth="1"/>
    <col min="22" max="22" width="16.21875" customWidth="1"/>
    <col min="23" max="23" width="13" customWidth="1"/>
    <col min="24" max="24" width="10.6640625" customWidth="1"/>
    <col min="25" max="25" width="16.21875" customWidth="1"/>
    <col min="26" max="26" width="11.21875" customWidth="1"/>
    <col min="27" max="27" width="14.5546875" customWidth="1"/>
    <col min="28" max="28" width="16.21875" customWidth="1"/>
    <col min="29" max="29" width="10.21875" hidden="1" customWidth="1"/>
    <col min="30" max="30" width="13.21875" hidden="1" customWidth="1"/>
    <col min="31" max="31" width="17.21875" hidden="1" customWidth="1"/>
    <col min="32" max="32" width="11.88671875" hidden="1" customWidth="1"/>
    <col min="33" max="33" width="12.77734375" hidden="1" customWidth="1"/>
    <col min="34" max="34" width="16.21875" hidden="1" customWidth="1"/>
    <col min="35" max="35" width="11" hidden="1" customWidth="1"/>
    <col min="36" max="36" width="12.77734375" hidden="1" customWidth="1"/>
    <col min="37" max="37" width="16.33203125" hidden="1" customWidth="1"/>
    <col min="38" max="38" width="11.109375" customWidth="1"/>
    <col min="39" max="39" width="11.21875" customWidth="1"/>
    <col min="40" max="40" width="16.44140625" customWidth="1"/>
  </cols>
  <sheetData>
    <row r="1" spans="2:40" ht="18" x14ac:dyDescent="0.35">
      <c r="C1" s="21" t="s">
        <v>102</v>
      </c>
    </row>
    <row r="2" spans="2:40" ht="15" thickBot="1" x14ac:dyDescent="0.35">
      <c r="C2" s="13" t="s">
        <v>29</v>
      </c>
    </row>
    <row r="3" spans="2:40" ht="16.8" thickTop="1" thickBot="1" x14ac:dyDescent="0.35">
      <c r="C3" s="5" t="s">
        <v>101</v>
      </c>
      <c r="D3" s="2"/>
      <c r="E3" s="2"/>
      <c r="F3" s="2"/>
      <c r="G3" s="2"/>
      <c r="H3" s="2"/>
      <c r="I3" s="2"/>
      <c r="M3" s="15" t="s">
        <v>49</v>
      </c>
    </row>
    <row r="4" spans="2:40" ht="15.6" thickTop="1" thickBot="1" x14ac:dyDescent="0.35">
      <c r="C4" s="14" t="s">
        <v>17</v>
      </c>
      <c r="D4" s="4"/>
      <c r="E4" s="4"/>
      <c r="F4" s="2"/>
      <c r="G4" s="2"/>
      <c r="H4" s="2"/>
      <c r="I4" s="2"/>
    </row>
    <row r="5" spans="2:40" ht="19.2" thickTop="1" thickBot="1" x14ac:dyDescent="0.4">
      <c r="C5" s="4" t="s">
        <v>48</v>
      </c>
      <c r="D5" s="4" t="s">
        <v>10</v>
      </c>
      <c r="E5" s="4" t="s">
        <v>11</v>
      </c>
      <c r="F5" s="2"/>
      <c r="G5" s="4" t="s">
        <v>20</v>
      </c>
      <c r="H5" s="2"/>
      <c r="I5" s="4" t="s">
        <v>21</v>
      </c>
      <c r="M5" s="6" t="s">
        <v>40</v>
      </c>
      <c r="N5" s="102" t="s">
        <v>1</v>
      </c>
      <c r="O5" s="102"/>
      <c r="P5" s="102"/>
      <c r="Q5" s="102" t="s">
        <v>2</v>
      </c>
      <c r="R5" s="102"/>
      <c r="S5" s="102"/>
      <c r="T5" s="102" t="s">
        <v>3</v>
      </c>
      <c r="U5" s="102"/>
      <c r="V5" s="102"/>
      <c r="W5" s="102" t="s">
        <v>0</v>
      </c>
      <c r="X5" s="102"/>
      <c r="Y5" s="102"/>
      <c r="Z5" s="102" t="s">
        <v>4</v>
      </c>
      <c r="AA5" s="102"/>
      <c r="AB5" s="102"/>
      <c r="AC5" s="102" t="s">
        <v>5</v>
      </c>
      <c r="AD5" s="102"/>
      <c r="AE5" s="102"/>
      <c r="AF5" s="102" t="s">
        <v>6</v>
      </c>
      <c r="AG5" s="102"/>
      <c r="AH5" s="102"/>
      <c r="AI5" s="102" t="s">
        <v>7</v>
      </c>
      <c r="AJ5" s="102"/>
      <c r="AK5" s="102"/>
      <c r="AL5" s="102" t="s">
        <v>8</v>
      </c>
      <c r="AM5" s="102"/>
      <c r="AN5" s="102"/>
    </row>
    <row r="6" spans="2:40" s="1" customFormat="1" ht="19.2" thickTop="1" thickBot="1" x14ac:dyDescent="0.4">
      <c r="C6" s="2" t="s">
        <v>47</v>
      </c>
      <c r="D6" s="2">
        <f>90-10.5</f>
        <v>79.5</v>
      </c>
      <c r="E6" s="2">
        <f>D6*20%</f>
        <v>15.9</v>
      </c>
      <c r="F6" s="2"/>
      <c r="G6" s="8">
        <f>E6*5%</f>
        <v>0.79500000000000004</v>
      </c>
      <c r="H6" s="2"/>
      <c r="I6" s="8">
        <f>E6-G6</f>
        <v>15.105</v>
      </c>
      <c r="M6" s="17" t="s">
        <v>25</v>
      </c>
      <c r="N6" s="16" t="s">
        <v>10</v>
      </c>
      <c r="O6" s="16" t="s">
        <v>11</v>
      </c>
      <c r="P6" s="16" t="s">
        <v>20</v>
      </c>
      <c r="Q6" s="16" t="s">
        <v>10</v>
      </c>
      <c r="R6" s="16" t="s">
        <v>11</v>
      </c>
      <c r="S6" s="16" t="s">
        <v>20</v>
      </c>
      <c r="T6" s="16" t="s">
        <v>10</v>
      </c>
      <c r="U6" s="16" t="s">
        <v>11</v>
      </c>
      <c r="V6" s="16" t="s">
        <v>20</v>
      </c>
      <c r="W6" s="16" t="s">
        <v>10</v>
      </c>
      <c r="X6" s="16" t="s">
        <v>11</v>
      </c>
      <c r="Y6" s="16" t="s">
        <v>20</v>
      </c>
      <c r="Z6" s="16" t="s">
        <v>10</v>
      </c>
      <c r="AA6" s="16" t="s">
        <v>11</v>
      </c>
      <c r="AB6" s="16" t="s">
        <v>20</v>
      </c>
      <c r="AC6" s="16" t="s">
        <v>10</v>
      </c>
      <c r="AD6" s="16" t="s">
        <v>11</v>
      </c>
      <c r="AE6" s="16" t="s">
        <v>20</v>
      </c>
      <c r="AF6" s="16" t="s">
        <v>10</v>
      </c>
      <c r="AG6" s="16" t="s">
        <v>11</v>
      </c>
      <c r="AH6" s="16" t="s">
        <v>20</v>
      </c>
      <c r="AI6" s="16" t="s">
        <v>10</v>
      </c>
      <c r="AJ6" s="16" t="s">
        <v>11</v>
      </c>
      <c r="AK6" s="16" t="s">
        <v>20</v>
      </c>
      <c r="AL6" s="16" t="s">
        <v>10</v>
      </c>
      <c r="AM6" s="16" t="s">
        <v>11</v>
      </c>
      <c r="AN6" s="16" t="s">
        <v>20</v>
      </c>
    </row>
    <row r="7" spans="2:40" ht="15.6" thickTop="1" thickBot="1" x14ac:dyDescent="0.35">
      <c r="C7" s="37" t="s">
        <v>65</v>
      </c>
      <c r="D7" s="2"/>
      <c r="E7" s="2">
        <f t="shared" ref="E7" si="0">D7*20%</f>
        <v>0</v>
      </c>
      <c r="F7" s="2"/>
      <c r="G7" s="8">
        <f t="shared" ref="G7:G18" si="1">E7*5%</f>
        <v>0</v>
      </c>
      <c r="H7" s="2"/>
      <c r="I7" s="8">
        <f t="shared" ref="I7:I18" si="2">E7-G7</f>
        <v>0</v>
      </c>
      <c r="M7" s="2" t="s">
        <v>66</v>
      </c>
      <c r="N7" s="2">
        <f>113-12</f>
        <v>101</v>
      </c>
      <c r="O7" s="2">
        <f>N7*20%</f>
        <v>20.200000000000003</v>
      </c>
      <c r="P7" s="8">
        <f>O7*5%</f>
        <v>1.0100000000000002</v>
      </c>
      <c r="Q7" s="3">
        <f>148-14.5</f>
        <v>133.5</v>
      </c>
      <c r="R7" s="2">
        <f>Q7*20%</f>
        <v>26.700000000000003</v>
      </c>
      <c r="S7" s="8">
        <f>R7*5%</f>
        <v>1.3350000000000002</v>
      </c>
      <c r="T7" s="3">
        <f>188.5-17</f>
        <v>171.5</v>
      </c>
      <c r="U7" s="3">
        <f>T7*20%</f>
        <v>34.300000000000004</v>
      </c>
      <c r="V7" s="8">
        <f>U7*5%</f>
        <v>1.7150000000000003</v>
      </c>
      <c r="W7" s="3">
        <f>300-23</f>
        <v>277</v>
      </c>
      <c r="X7" s="2">
        <f>W7*20%</f>
        <v>55.400000000000006</v>
      </c>
      <c r="Y7" s="8">
        <f>X7*5%</f>
        <v>2.7700000000000005</v>
      </c>
      <c r="Z7" s="3">
        <f>W7+12%*W7</f>
        <v>310.24</v>
      </c>
      <c r="AA7" s="3">
        <f>Z7*20%</f>
        <v>62.048000000000002</v>
      </c>
      <c r="AB7" s="8">
        <f>AA7*5%</f>
        <v>3.1024000000000003</v>
      </c>
      <c r="AC7" s="3">
        <f>Z7+12%*Z7</f>
        <v>347.46879999999999</v>
      </c>
      <c r="AD7" s="3">
        <f>AC7*20%</f>
        <v>69.493759999999995</v>
      </c>
      <c r="AE7" s="8">
        <f>AD7*5%</f>
        <v>3.474688</v>
      </c>
      <c r="AF7" s="3">
        <f>AC7+12%*AC7</f>
        <v>389.16505599999999</v>
      </c>
      <c r="AG7" s="3">
        <f>AF7*20%</f>
        <v>77.833011200000001</v>
      </c>
      <c r="AH7" s="8">
        <f>AG7*5%</f>
        <v>3.8916505600000004</v>
      </c>
      <c r="AI7" s="3">
        <f>AF7+12%*AF7</f>
        <v>435.86486272000002</v>
      </c>
      <c r="AJ7" s="3">
        <f>AI7*20%</f>
        <v>87.172972544000004</v>
      </c>
      <c r="AK7" s="8">
        <f>AJ7*5%</f>
        <v>4.3586486272</v>
      </c>
      <c r="AL7" s="3">
        <f>AI7+12%*AI7</f>
        <v>488.16864624640004</v>
      </c>
      <c r="AM7" s="3">
        <f>AL7*20%</f>
        <v>97.633729249280009</v>
      </c>
      <c r="AN7" s="8">
        <f>AM7*5%</f>
        <v>4.8816864624640006</v>
      </c>
    </row>
    <row r="8" spans="2:40" ht="15.6" thickTop="1" thickBot="1" x14ac:dyDescent="0.35">
      <c r="C8" s="20" t="s">
        <v>60</v>
      </c>
      <c r="D8" s="3">
        <f>2400/7500</f>
        <v>0.32</v>
      </c>
      <c r="E8" s="3">
        <f>D8*20%</f>
        <v>6.4000000000000001E-2</v>
      </c>
      <c r="F8" s="2"/>
      <c r="G8" s="3">
        <f t="shared" si="1"/>
        <v>3.2000000000000002E-3</v>
      </c>
      <c r="H8" s="2"/>
      <c r="I8" s="3">
        <f t="shared" si="2"/>
        <v>6.08E-2</v>
      </c>
      <c r="M8" s="2" t="s">
        <v>56</v>
      </c>
      <c r="N8" s="2"/>
      <c r="O8" s="2"/>
      <c r="P8" s="8"/>
      <c r="Q8" s="3"/>
      <c r="R8" s="2"/>
      <c r="S8" s="8"/>
      <c r="T8" s="3"/>
      <c r="U8" s="3"/>
      <c r="V8" s="8"/>
      <c r="W8" s="3"/>
      <c r="X8" s="2"/>
      <c r="Y8" s="8"/>
      <c r="Z8" s="3"/>
      <c r="AA8" s="3"/>
      <c r="AB8" s="8"/>
      <c r="AC8" s="3"/>
      <c r="AD8" s="3"/>
      <c r="AE8" s="8"/>
      <c r="AF8" s="3"/>
      <c r="AG8" s="3"/>
      <c r="AH8" s="8"/>
      <c r="AI8" s="3"/>
      <c r="AJ8" s="3"/>
      <c r="AK8" s="8"/>
      <c r="AL8" s="3"/>
      <c r="AM8" s="3"/>
      <c r="AN8" s="8"/>
    </row>
    <row r="9" spans="2:40" ht="15.6" thickTop="1" thickBot="1" x14ac:dyDescent="0.35">
      <c r="C9" s="20" t="s">
        <v>61</v>
      </c>
      <c r="D9" s="3">
        <f>11800/7500</f>
        <v>1.5733333333333333</v>
      </c>
      <c r="E9" s="3">
        <f>D9*20%</f>
        <v>0.31466666666666665</v>
      </c>
      <c r="F9" s="2"/>
      <c r="G9" s="23">
        <f t="shared" si="1"/>
        <v>1.5733333333333332E-2</v>
      </c>
      <c r="H9" s="2"/>
      <c r="I9" s="3">
        <f t="shared" si="2"/>
        <v>0.29893333333333333</v>
      </c>
      <c r="M9" s="2"/>
      <c r="N9" s="2"/>
      <c r="O9" s="2"/>
      <c r="P9" s="8"/>
      <c r="Q9" s="3"/>
      <c r="R9" s="2"/>
      <c r="S9" s="8"/>
      <c r="T9" s="3"/>
      <c r="U9" s="3"/>
      <c r="V9" s="8"/>
      <c r="W9" s="3"/>
      <c r="X9" s="2"/>
      <c r="Y9" s="8"/>
      <c r="Z9" s="3"/>
      <c r="AA9" s="3"/>
      <c r="AB9" s="8"/>
      <c r="AC9" s="3"/>
      <c r="AD9" s="3"/>
      <c r="AE9" s="8"/>
      <c r="AF9" s="3"/>
      <c r="AG9" s="3"/>
      <c r="AH9" s="8"/>
      <c r="AI9" s="3"/>
      <c r="AJ9" s="3"/>
      <c r="AK9" s="8"/>
      <c r="AL9" s="3"/>
      <c r="AM9" s="3"/>
      <c r="AN9" s="8"/>
    </row>
    <row r="10" spans="2:40" ht="15.6" thickTop="1" thickBot="1" x14ac:dyDescent="0.35">
      <c r="C10" s="20" t="s">
        <v>62</v>
      </c>
      <c r="D10" s="3">
        <f>13500/7500</f>
        <v>1.8</v>
      </c>
      <c r="E10" s="3">
        <f>D10*20%</f>
        <v>0.36000000000000004</v>
      </c>
      <c r="F10" s="2"/>
      <c r="G10" s="23">
        <f t="shared" si="1"/>
        <v>1.8000000000000002E-2</v>
      </c>
      <c r="H10" s="2"/>
      <c r="I10" s="3">
        <f t="shared" si="2"/>
        <v>0.34200000000000003</v>
      </c>
      <c r="M10" s="2"/>
      <c r="N10" s="2"/>
      <c r="O10" s="2"/>
      <c r="P10" s="8"/>
      <c r="Q10" s="3"/>
      <c r="R10" s="2"/>
      <c r="S10" s="8"/>
      <c r="T10" s="3"/>
      <c r="U10" s="3"/>
      <c r="V10" s="8"/>
      <c r="W10" s="3"/>
      <c r="X10" s="2"/>
      <c r="Y10" s="8"/>
      <c r="Z10" s="3"/>
      <c r="AA10" s="3"/>
      <c r="AB10" s="8"/>
      <c r="AC10" s="3"/>
      <c r="AD10" s="3"/>
      <c r="AE10" s="8"/>
      <c r="AF10" s="3"/>
      <c r="AG10" s="3"/>
      <c r="AH10" s="8"/>
      <c r="AI10" s="3"/>
      <c r="AJ10" s="3"/>
      <c r="AK10" s="8"/>
      <c r="AL10" s="3"/>
      <c r="AM10" s="3"/>
      <c r="AN10" s="8"/>
    </row>
    <row r="11" spans="2:40" ht="15.6" thickTop="1" thickBot="1" x14ac:dyDescent="0.35">
      <c r="C11" s="20" t="s">
        <v>63</v>
      </c>
      <c r="D11" s="3">
        <f>7200/7500</f>
        <v>0.96</v>
      </c>
      <c r="E11" s="3">
        <f>D11*20%</f>
        <v>0.192</v>
      </c>
      <c r="F11" s="2"/>
      <c r="G11" s="23">
        <f t="shared" si="1"/>
        <v>9.6000000000000009E-3</v>
      </c>
      <c r="H11" s="2"/>
      <c r="I11" s="3">
        <f t="shared" si="2"/>
        <v>0.18240000000000001</v>
      </c>
      <c r="M11" s="2"/>
      <c r="N11" s="2"/>
      <c r="O11" s="2"/>
      <c r="P11" s="8"/>
      <c r="Q11" s="3"/>
      <c r="R11" s="2"/>
      <c r="S11" s="8"/>
      <c r="T11" s="3"/>
      <c r="U11" s="3"/>
      <c r="V11" s="8"/>
      <c r="W11" s="3"/>
      <c r="X11" s="2"/>
      <c r="Y11" s="8"/>
      <c r="Z11" s="3"/>
      <c r="AA11" s="3"/>
      <c r="AB11" s="8"/>
      <c r="AC11" s="3"/>
      <c r="AD11" s="3"/>
      <c r="AE11" s="8"/>
      <c r="AF11" s="3"/>
      <c r="AG11" s="3"/>
      <c r="AH11" s="8"/>
      <c r="AI11" s="3"/>
      <c r="AJ11" s="3"/>
      <c r="AK11" s="8"/>
      <c r="AL11" s="3"/>
      <c r="AM11" s="3"/>
      <c r="AN11" s="8"/>
    </row>
    <row r="12" spans="2:40" ht="15.6" thickTop="1" thickBot="1" x14ac:dyDescent="0.35">
      <c r="C12" s="20" t="s">
        <v>64</v>
      </c>
      <c r="D12" s="3">
        <f>8900/7500</f>
        <v>1.1866666666666668</v>
      </c>
      <c r="E12" s="3">
        <f>D12*20%</f>
        <v>0.23733333333333337</v>
      </c>
      <c r="F12" s="2"/>
      <c r="G12" s="23">
        <f t="shared" si="1"/>
        <v>1.1866666666666669E-2</v>
      </c>
      <c r="H12" s="2"/>
      <c r="I12" s="3">
        <f t="shared" si="2"/>
        <v>0.2254666666666667</v>
      </c>
      <c r="M12" s="2"/>
      <c r="N12" s="2"/>
      <c r="O12" s="2"/>
      <c r="P12" s="8"/>
      <c r="Q12" s="3"/>
      <c r="R12" s="2"/>
      <c r="S12" s="8"/>
      <c r="T12" s="3"/>
      <c r="U12" s="3"/>
      <c r="V12" s="8"/>
      <c r="W12" s="3"/>
      <c r="X12" s="2"/>
      <c r="Y12" s="8"/>
      <c r="Z12" s="3"/>
      <c r="AA12" s="3"/>
      <c r="AB12" s="8"/>
      <c r="AC12" s="3"/>
      <c r="AD12" s="3"/>
      <c r="AE12" s="8"/>
      <c r="AF12" s="3"/>
      <c r="AG12" s="3"/>
      <c r="AH12" s="8"/>
      <c r="AI12" s="3"/>
      <c r="AJ12" s="3"/>
      <c r="AK12" s="8"/>
      <c r="AL12" s="3"/>
      <c r="AM12" s="3"/>
      <c r="AN12" s="8"/>
    </row>
    <row r="13" spans="2:40" ht="15.6" thickTop="1" thickBot="1" x14ac:dyDescent="0.35">
      <c r="C13" s="37" t="s">
        <v>68</v>
      </c>
      <c r="D13" s="3"/>
      <c r="E13" s="3"/>
      <c r="F13" s="2"/>
      <c r="G13" s="23"/>
      <c r="H13" s="2"/>
      <c r="I13" s="3"/>
      <c r="M13" s="2"/>
      <c r="N13" s="2"/>
      <c r="O13" s="2"/>
      <c r="P13" s="8"/>
      <c r="Q13" s="3"/>
      <c r="R13" s="2"/>
      <c r="S13" s="8"/>
      <c r="T13" s="3"/>
      <c r="U13" s="3"/>
      <c r="V13" s="8"/>
      <c r="W13" s="3"/>
      <c r="X13" s="2"/>
      <c r="Y13" s="8"/>
      <c r="Z13" s="3"/>
      <c r="AA13" s="3"/>
      <c r="AB13" s="8"/>
      <c r="AC13" s="3"/>
      <c r="AD13" s="3"/>
      <c r="AE13" s="8"/>
      <c r="AF13" s="3"/>
      <c r="AG13" s="3"/>
      <c r="AH13" s="8"/>
      <c r="AI13" s="3"/>
      <c r="AJ13" s="3"/>
      <c r="AK13" s="8"/>
      <c r="AL13" s="3"/>
      <c r="AM13" s="3"/>
      <c r="AN13" s="8"/>
    </row>
    <row r="14" spans="2:40" ht="15.6" thickTop="1" thickBot="1" x14ac:dyDescent="0.35">
      <c r="C14" s="20" t="s">
        <v>50</v>
      </c>
      <c r="D14" s="2"/>
      <c r="E14" s="3">
        <f>D14*20%</f>
        <v>0</v>
      </c>
      <c r="F14" s="2"/>
      <c r="G14" s="23">
        <f t="shared" si="1"/>
        <v>0</v>
      </c>
      <c r="H14" s="2"/>
      <c r="I14" s="3">
        <f t="shared" si="2"/>
        <v>0</v>
      </c>
      <c r="M14" s="2"/>
      <c r="N14" s="2"/>
      <c r="O14" s="2"/>
      <c r="P14" s="8"/>
      <c r="Q14" s="3"/>
      <c r="R14" s="2"/>
      <c r="S14" s="8"/>
      <c r="T14" s="3"/>
      <c r="U14" s="3"/>
      <c r="V14" s="8"/>
      <c r="W14" s="3"/>
      <c r="X14" s="2"/>
      <c r="Y14" s="8"/>
      <c r="Z14" s="3"/>
      <c r="AA14" s="3"/>
      <c r="AB14" s="8"/>
      <c r="AC14" s="3"/>
      <c r="AD14" s="3"/>
      <c r="AE14" s="8"/>
      <c r="AF14" s="3"/>
      <c r="AG14" s="3"/>
      <c r="AH14" s="8"/>
      <c r="AI14" s="3"/>
      <c r="AJ14" s="3"/>
      <c r="AK14" s="8"/>
      <c r="AL14" s="3"/>
      <c r="AM14" s="3"/>
      <c r="AN14" s="8"/>
    </row>
    <row r="15" spans="2:40" ht="15.6" thickTop="1" thickBot="1" x14ac:dyDescent="0.35">
      <c r="C15" s="20" t="s">
        <v>51</v>
      </c>
      <c r="D15" s="2"/>
      <c r="E15" s="3">
        <f>D15*20%</f>
        <v>0</v>
      </c>
      <c r="F15" s="2"/>
      <c r="G15" s="23">
        <f t="shared" si="1"/>
        <v>0</v>
      </c>
      <c r="H15" s="2"/>
      <c r="I15" s="3">
        <f t="shared" si="2"/>
        <v>0</v>
      </c>
      <c r="M15" s="2"/>
      <c r="N15" s="2"/>
      <c r="O15" s="2"/>
      <c r="P15" s="8"/>
      <c r="Q15" s="3"/>
      <c r="R15" s="2"/>
      <c r="S15" s="8"/>
      <c r="T15" s="3"/>
      <c r="U15" s="3"/>
      <c r="V15" s="8"/>
      <c r="W15" s="3"/>
      <c r="X15" s="2"/>
      <c r="Y15" s="8"/>
      <c r="Z15" s="3"/>
      <c r="AA15" s="3"/>
      <c r="AB15" s="8"/>
      <c r="AC15" s="3"/>
      <c r="AD15" s="3"/>
      <c r="AE15" s="8"/>
      <c r="AF15" s="3"/>
      <c r="AG15" s="3"/>
      <c r="AH15" s="8"/>
      <c r="AI15" s="3"/>
      <c r="AJ15" s="3"/>
      <c r="AK15" s="8"/>
      <c r="AL15" s="3"/>
      <c r="AM15" s="3"/>
      <c r="AN15" s="8"/>
    </row>
    <row r="16" spans="2:40" ht="15.6" thickTop="1" thickBot="1" x14ac:dyDescent="0.35">
      <c r="C16" s="20" t="s">
        <v>69</v>
      </c>
      <c r="D16" s="3">
        <f>'Workings for ESDM'!F14</f>
        <v>4.1764504000000008E-2</v>
      </c>
      <c r="E16" s="23">
        <f>D16*20%</f>
        <v>8.3529008000000019E-3</v>
      </c>
      <c r="F16" s="2"/>
      <c r="G16" s="41">
        <f t="shared" si="1"/>
        <v>4.1764504000000013E-4</v>
      </c>
      <c r="H16" s="2"/>
      <c r="I16" s="23">
        <f t="shared" si="2"/>
        <v>7.9352557600000026E-3</v>
      </c>
      <c r="M16" s="2"/>
      <c r="N16" s="2"/>
      <c r="O16" s="2"/>
      <c r="P16" s="8"/>
      <c r="Q16" s="3"/>
      <c r="R16" s="2"/>
      <c r="S16" s="8"/>
      <c r="T16" s="3"/>
      <c r="U16" s="3"/>
      <c r="V16" s="8"/>
      <c r="W16" s="3"/>
      <c r="X16" s="2"/>
      <c r="Y16" s="8"/>
      <c r="Z16" s="3"/>
      <c r="AA16" s="3"/>
      <c r="AB16" s="8"/>
      <c r="AC16" s="3"/>
      <c r="AD16" s="3"/>
      <c r="AE16" s="8"/>
      <c r="AF16" s="3"/>
      <c r="AG16" s="3"/>
      <c r="AH16" s="8"/>
      <c r="AI16" s="3"/>
      <c r="AJ16" s="3"/>
      <c r="AK16" s="8"/>
      <c r="AL16" s="3"/>
      <c r="AM16" s="3"/>
      <c r="AN16" s="8"/>
    </row>
    <row r="17" spans="2:40" ht="15.6" thickTop="1" thickBot="1" x14ac:dyDescent="0.35">
      <c r="C17" s="2" t="s">
        <v>52</v>
      </c>
      <c r="D17" s="3">
        <f>4506.3/1000</f>
        <v>4.5063000000000004</v>
      </c>
      <c r="E17" s="3">
        <f>D17*20%</f>
        <v>0.90126000000000017</v>
      </c>
      <c r="F17" s="2"/>
      <c r="G17" s="3">
        <f t="shared" si="1"/>
        <v>4.5063000000000013E-2</v>
      </c>
      <c r="H17" s="2"/>
      <c r="I17" s="3">
        <f t="shared" si="2"/>
        <v>0.85619700000000021</v>
      </c>
      <c r="M17" s="2"/>
      <c r="N17" s="2"/>
      <c r="O17" s="2"/>
      <c r="P17" s="8"/>
      <c r="Q17" s="3"/>
      <c r="R17" s="2"/>
      <c r="S17" s="8"/>
      <c r="T17" s="3"/>
      <c r="U17" s="3"/>
      <c r="V17" s="8"/>
      <c r="W17" s="3"/>
      <c r="X17" s="2"/>
      <c r="Y17" s="8"/>
      <c r="Z17" s="3"/>
      <c r="AA17" s="3"/>
      <c r="AB17" s="8"/>
      <c r="AC17" s="3"/>
      <c r="AD17" s="3"/>
      <c r="AE17" s="8"/>
      <c r="AF17" s="3"/>
      <c r="AG17" s="3"/>
      <c r="AH17" s="8"/>
      <c r="AI17" s="3"/>
      <c r="AJ17" s="3"/>
      <c r="AK17" s="8"/>
      <c r="AL17" s="3"/>
      <c r="AM17" s="3"/>
      <c r="AN17" s="8"/>
    </row>
    <row r="18" spans="2:40" ht="15.6" thickTop="1" thickBot="1" x14ac:dyDescent="0.35">
      <c r="C18" s="2" t="s">
        <v>67</v>
      </c>
      <c r="D18" s="3">
        <f>'Workings for ESDM'!E32</f>
        <v>0.79793124000000004</v>
      </c>
      <c r="E18" s="3">
        <f>D18*20%</f>
        <v>0.15958624800000001</v>
      </c>
      <c r="F18" s="2"/>
      <c r="G18" s="3">
        <f t="shared" si="1"/>
        <v>7.9793124000000007E-3</v>
      </c>
      <c r="H18" s="2"/>
      <c r="I18" s="3">
        <f t="shared" si="2"/>
        <v>0.15160693560000002</v>
      </c>
      <c r="M18" s="2"/>
      <c r="N18" s="2"/>
      <c r="O18" s="2"/>
      <c r="P18" s="8"/>
      <c r="Q18" s="3"/>
      <c r="R18" s="2"/>
      <c r="S18" s="8"/>
      <c r="T18" s="3"/>
      <c r="U18" s="3"/>
      <c r="V18" s="8"/>
      <c r="W18" s="3"/>
      <c r="X18" s="2"/>
      <c r="Y18" s="8"/>
      <c r="Z18" s="3"/>
      <c r="AA18" s="3"/>
      <c r="AB18" s="8"/>
      <c r="AC18" s="3"/>
      <c r="AD18" s="3"/>
      <c r="AE18" s="8"/>
      <c r="AF18" s="3"/>
      <c r="AG18" s="3"/>
      <c r="AH18" s="8"/>
      <c r="AI18" s="3"/>
      <c r="AJ18" s="3"/>
      <c r="AK18" s="8"/>
      <c r="AL18" s="3"/>
      <c r="AM18" s="3"/>
      <c r="AN18" s="8"/>
    </row>
    <row r="19" spans="2:40" ht="15.6" thickTop="1" thickBot="1" x14ac:dyDescent="0.35">
      <c r="C19" s="25" t="s">
        <v>46</v>
      </c>
      <c r="D19" s="36">
        <f t="shared" ref="D19:I19" si="3">SUM(D6:D17)</f>
        <v>89.888064503999985</v>
      </c>
      <c r="E19" s="36">
        <f t="shared" si="3"/>
        <v>17.977612900799997</v>
      </c>
      <c r="F19" s="36">
        <f t="shared" si="3"/>
        <v>0</v>
      </c>
      <c r="G19" s="36">
        <f t="shared" si="3"/>
        <v>0.89888064504000009</v>
      </c>
      <c r="H19" s="36">
        <f t="shared" si="3"/>
        <v>0</v>
      </c>
      <c r="I19" s="36">
        <f t="shared" si="3"/>
        <v>17.078732255760002</v>
      </c>
      <c r="M19" s="33" t="s">
        <v>57</v>
      </c>
      <c r="N19" s="2"/>
      <c r="O19" s="2"/>
      <c r="P19" s="8"/>
      <c r="Q19" s="3"/>
      <c r="R19" s="3"/>
      <c r="S19" s="8">
        <f t="shared" ref="S19:S36" si="4">R19*20%</f>
        <v>0</v>
      </c>
      <c r="T19" s="3"/>
      <c r="U19" s="3"/>
      <c r="V19" s="3"/>
      <c r="W19" s="3"/>
      <c r="X19" s="3"/>
      <c r="Y19" s="3"/>
      <c r="Z19" s="3"/>
      <c r="AA19" s="3"/>
      <c r="AB19" s="3"/>
      <c r="AC19" s="3"/>
      <c r="AD19" s="3"/>
      <c r="AE19" s="3"/>
      <c r="AF19" s="3"/>
      <c r="AG19" s="3"/>
      <c r="AH19" s="3"/>
      <c r="AI19" s="3"/>
      <c r="AJ19" s="3"/>
      <c r="AK19" s="3"/>
      <c r="AL19" s="3"/>
      <c r="AM19" s="3"/>
      <c r="AN19" s="3"/>
    </row>
    <row r="20" spans="2:40" ht="15.6" thickTop="1" thickBot="1" x14ac:dyDescent="0.35">
      <c r="C20" s="32"/>
      <c r="D20" s="32"/>
      <c r="E20" s="32"/>
      <c r="F20" s="32"/>
      <c r="G20" s="32"/>
      <c r="H20" s="32"/>
      <c r="I20" s="32"/>
      <c r="M20" s="37" t="s">
        <v>59</v>
      </c>
      <c r="N20" s="2"/>
      <c r="O20" s="2"/>
      <c r="P20" s="8"/>
      <c r="Q20" s="3"/>
      <c r="R20" s="3"/>
      <c r="S20" s="8">
        <f t="shared" si="4"/>
        <v>0</v>
      </c>
      <c r="T20" s="3"/>
      <c r="U20" s="3"/>
      <c r="V20" s="3"/>
      <c r="W20" s="3"/>
      <c r="X20" s="3"/>
      <c r="Y20" s="3"/>
      <c r="Z20" s="3"/>
      <c r="AA20" s="3"/>
      <c r="AB20" s="3"/>
      <c r="AC20" s="3"/>
      <c r="AD20" s="3"/>
      <c r="AE20" s="3"/>
      <c r="AF20" s="3"/>
      <c r="AG20" s="3"/>
      <c r="AH20" s="3"/>
      <c r="AI20" s="3"/>
      <c r="AJ20" s="3"/>
      <c r="AK20" s="3"/>
      <c r="AL20" s="3"/>
      <c r="AM20" s="3"/>
      <c r="AN20" s="3"/>
    </row>
    <row r="21" spans="2:40" ht="15.6" thickTop="1" thickBot="1" x14ac:dyDescent="0.35">
      <c r="C21" s="32"/>
      <c r="D21" s="32"/>
      <c r="E21" s="32"/>
      <c r="F21" s="32"/>
      <c r="G21" s="32"/>
      <c r="H21" s="32"/>
      <c r="I21" s="32"/>
      <c r="M21" s="20" t="s">
        <v>60</v>
      </c>
      <c r="N21" s="3">
        <f>3100/7500</f>
        <v>0.41333333333333333</v>
      </c>
      <c r="O21" s="3">
        <f t="shared" ref="O21:O29" si="5">N21*20%</f>
        <v>8.2666666666666666E-2</v>
      </c>
      <c r="P21" s="23">
        <f t="shared" ref="P21:P29" si="6">O21*5%</f>
        <v>4.1333333333333335E-3</v>
      </c>
      <c r="Q21" s="3">
        <f>3800/7500</f>
        <v>0.50666666666666671</v>
      </c>
      <c r="R21" s="3">
        <f t="shared" ref="R21:R29" si="7">Q21*20%</f>
        <v>0.10133333333333334</v>
      </c>
      <c r="S21" s="23">
        <f t="shared" ref="S21:S27" si="8">R21*5%</f>
        <v>5.0666666666666672E-3</v>
      </c>
      <c r="T21" s="3">
        <f>4600/7500</f>
        <v>0.61333333333333329</v>
      </c>
      <c r="U21" s="3">
        <f t="shared" ref="U21:U29" si="9">T21*20%</f>
        <v>0.12266666666666666</v>
      </c>
      <c r="V21" s="23">
        <f t="shared" ref="V21:V29" si="10">U21*5%</f>
        <v>6.1333333333333335E-3</v>
      </c>
      <c r="W21" s="3">
        <f>5700/7500</f>
        <v>0.76</v>
      </c>
      <c r="X21" s="3">
        <f t="shared" ref="X21:X29" si="11">W21*20%</f>
        <v>0.15200000000000002</v>
      </c>
      <c r="Y21" s="23">
        <f t="shared" ref="Y21:Y29" si="12">X21*5%</f>
        <v>7.6000000000000017E-3</v>
      </c>
      <c r="Z21" s="3">
        <f>W21+12%*W21</f>
        <v>0.85119999999999996</v>
      </c>
      <c r="AA21" s="3">
        <f t="shared" ref="AA21:AA29" si="13">Z21*20%</f>
        <v>0.17024</v>
      </c>
      <c r="AB21" s="23">
        <f t="shared" ref="AB21:AB29" si="14">AA21*5%</f>
        <v>8.5120000000000005E-3</v>
      </c>
      <c r="AC21" s="3">
        <f>Z21+12%*Z21</f>
        <v>0.95334399999999997</v>
      </c>
      <c r="AD21" s="3">
        <f t="shared" ref="AD21:AD29" si="15">AC21*20%</f>
        <v>0.1906688</v>
      </c>
      <c r="AE21" s="23">
        <f t="shared" ref="AE21:AE29" si="16">AD21*5%</f>
        <v>9.5334400000000007E-3</v>
      </c>
      <c r="AF21" s="3">
        <f>AC21+12%*AC21</f>
        <v>1.06774528</v>
      </c>
      <c r="AG21" s="3">
        <f t="shared" ref="AG21:AG29" si="17">AF21*20%</f>
        <v>0.21354905600000001</v>
      </c>
      <c r="AH21" s="23">
        <f t="shared" ref="AH21:AH29" si="18">AG21*5%</f>
        <v>1.0677452800000001E-2</v>
      </c>
      <c r="AI21" s="3">
        <f>AF21+12%*AF21</f>
        <v>1.1958747136000001</v>
      </c>
      <c r="AJ21" s="3">
        <f t="shared" ref="AJ21:AJ29" si="19">AI21*20%</f>
        <v>0.23917494272000003</v>
      </c>
      <c r="AK21" s="23">
        <f t="shared" ref="AK21:AK29" si="20">AJ21*5%</f>
        <v>1.1958747136000002E-2</v>
      </c>
      <c r="AL21" s="3">
        <f>AI21+12%*AI21</f>
        <v>1.3393796792320001</v>
      </c>
      <c r="AM21" s="3">
        <f t="shared" ref="AM21:AM29" si="21">AL21*20%</f>
        <v>0.26787593584640002</v>
      </c>
      <c r="AN21" s="23">
        <f t="shared" ref="AN21:AN29" si="22">AM21*5%</f>
        <v>1.3393796792320001E-2</v>
      </c>
    </row>
    <row r="22" spans="2:40" ht="15.6" thickTop="1" thickBot="1" x14ac:dyDescent="0.35">
      <c r="C22" s="32" t="s">
        <v>104</v>
      </c>
      <c r="D22" s="32"/>
      <c r="E22" s="32"/>
      <c r="F22" s="32"/>
      <c r="G22" s="32"/>
      <c r="H22" s="32"/>
      <c r="I22" s="32"/>
      <c r="M22" s="20" t="s">
        <v>61</v>
      </c>
      <c r="N22" s="3">
        <f>14300/7500</f>
        <v>1.9066666666666667</v>
      </c>
      <c r="O22" s="3">
        <f t="shared" si="5"/>
        <v>0.38133333333333336</v>
      </c>
      <c r="P22" s="23">
        <f t="shared" si="6"/>
        <v>1.9066666666666669E-2</v>
      </c>
      <c r="Q22" s="3">
        <f>17300/7500</f>
        <v>2.3066666666666666</v>
      </c>
      <c r="R22" s="3">
        <f t="shared" si="7"/>
        <v>0.46133333333333337</v>
      </c>
      <c r="S22" s="23">
        <f t="shared" si="8"/>
        <v>2.3066666666666669E-2</v>
      </c>
      <c r="T22" s="3">
        <f>20600/7500</f>
        <v>2.7466666666666666</v>
      </c>
      <c r="U22" s="3">
        <f t="shared" si="9"/>
        <v>0.54933333333333334</v>
      </c>
      <c r="V22" s="23">
        <f t="shared" si="10"/>
        <v>2.7466666666666667E-2</v>
      </c>
      <c r="W22" s="3">
        <f>24800/7500</f>
        <v>3.3066666666666666</v>
      </c>
      <c r="X22" s="3">
        <f t="shared" si="11"/>
        <v>0.66133333333333333</v>
      </c>
      <c r="Y22" s="23">
        <f t="shared" si="12"/>
        <v>3.3066666666666668E-2</v>
      </c>
      <c r="Z22" s="3">
        <f>W22+12%*W22</f>
        <v>3.7034666666666665</v>
      </c>
      <c r="AA22" s="3">
        <f t="shared" si="13"/>
        <v>0.74069333333333331</v>
      </c>
      <c r="AB22" s="23">
        <f t="shared" si="14"/>
        <v>3.7034666666666667E-2</v>
      </c>
      <c r="AC22" s="3">
        <f>Z22+12%*Z22</f>
        <v>4.1478826666666668</v>
      </c>
      <c r="AD22" s="3">
        <f t="shared" si="15"/>
        <v>0.82957653333333337</v>
      </c>
      <c r="AE22" s="23">
        <f t="shared" si="16"/>
        <v>4.147882666666667E-2</v>
      </c>
      <c r="AF22" s="3">
        <f>AC22+12%*AC22</f>
        <v>4.6456285866666667</v>
      </c>
      <c r="AG22" s="3">
        <f t="shared" si="17"/>
        <v>0.92912571733333338</v>
      </c>
      <c r="AH22" s="23">
        <f t="shared" si="18"/>
        <v>4.6456285866666669E-2</v>
      </c>
      <c r="AI22" s="3">
        <f>AF22+12%*AF22</f>
        <v>5.2031040170666669</v>
      </c>
      <c r="AJ22" s="3">
        <f t="shared" si="19"/>
        <v>1.0406208034133335</v>
      </c>
      <c r="AK22" s="23">
        <f t="shared" si="20"/>
        <v>5.2031040170666676E-2</v>
      </c>
      <c r="AL22" s="3">
        <f>AI22+12%*AI22</f>
        <v>5.8274764991146668</v>
      </c>
      <c r="AM22" s="3">
        <f t="shared" si="21"/>
        <v>1.1654952998229333</v>
      </c>
      <c r="AN22" s="23">
        <f t="shared" si="22"/>
        <v>5.8274764991146671E-2</v>
      </c>
    </row>
    <row r="23" spans="2:40" ht="15.6" thickTop="1" thickBot="1" x14ac:dyDescent="0.35">
      <c r="C23" s="32"/>
      <c r="D23" s="32"/>
      <c r="E23" s="32"/>
      <c r="F23" s="32"/>
      <c r="G23" s="32"/>
      <c r="H23" s="32"/>
      <c r="I23" s="32"/>
      <c r="M23" s="20" t="s">
        <v>62</v>
      </c>
      <c r="N23" s="3">
        <f>15600/7500</f>
        <v>2.08</v>
      </c>
      <c r="O23" s="3">
        <f t="shared" si="5"/>
        <v>0.41600000000000004</v>
      </c>
      <c r="P23" s="23">
        <f t="shared" si="6"/>
        <v>2.0800000000000003E-2</v>
      </c>
      <c r="Q23" s="3">
        <f>17700/7500</f>
        <v>2.36</v>
      </c>
      <c r="R23" s="3">
        <f t="shared" si="7"/>
        <v>0.47199999999999998</v>
      </c>
      <c r="S23" s="23">
        <f t="shared" si="8"/>
        <v>2.3599999999999999E-2</v>
      </c>
      <c r="T23" s="3">
        <f>20400/7500</f>
        <v>2.72</v>
      </c>
      <c r="U23" s="3">
        <f t="shared" si="9"/>
        <v>0.54400000000000004</v>
      </c>
      <c r="V23" s="23">
        <f t="shared" si="10"/>
        <v>2.7200000000000002E-2</v>
      </c>
      <c r="W23" s="3">
        <f>23500/7500</f>
        <v>3.1333333333333333</v>
      </c>
      <c r="X23" s="3">
        <f t="shared" si="11"/>
        <v>0.62666666666666671</v>
      </c>
      <c r="Y23" s="23">
        <f t="shared" si="12"/>
        <v>3.1333333333333338E-2</v>
      </c>
      <c r="Z23" s="3">
        <f>W23+12%*W23</f>
        <v>3.5093333333333332</v>
      </c>
      <c r="AA23" s="3">
        <f t="shared" si="13"/>
        <v>0.70186666666666664</v>
      </c>
      <c r="AB23" s="23">
        <f t="shared" si="14"/>
        <v>3.5093333333333331E-2</v>
      </c>
      <c r="AC23" s="3">
        <f>Z23+12%*Z23</f>
        <v>3.9304533333333334</v>
      </c>
      <c r="AD23" s="3">
        <f t="shared" si="15"/>
        <v>0.78609066666666672</v>
      </c>
      <c r="AE23" s="23">
        <f t="shared" si="16"/>
        <v>3.9304533333333336E-2</v>
      </c>
      <c r="AF23" s="3">
        <f>AC23+12%*AC23</f>
        <v>4.4021077333333336</v>
      </c>
      <c r="AG23" s="3">
        <f t="shared" si="17"/>
        <v>0.88042154666666672</v>
      </c>
      <c r="AH23" s="23">
        <f t="shared" si="18"/>
        <v>4.4021077333333339E-2</v>
      </c>
      <c r="AI23" s="3">
        <f>AF23+12%*AF23</f>
        <v>4.9303606613333333</v>
      </c>
      <c r="AJ23" s="3">
        <f t="shared" si="19"/>
        <v>0.98607213226666668</v>
      </c>
      <c r="AK23" s="23">
        <f t="shared" si="20"/>
        <v>4.9303606613333335E-2</v>
      </c>
      <c r="AL23" s="3">
        <f>AI23+12%*AI23</f>
        <v>5.5220039406933328</v>
      </c>
      <c r="AM23" s="3">
        <f t="shared" si="21"/>
        <v>1.1044007881386666</v>
      </c>
      <c r="AN23" s="23">
        <f t="shared" si="22"/>
        <v>5.5220039406933333E-2</v>
      </c>
    </row>
    <row r="24" spans="2:40" ht="15.6" thickTop="1" thickBot="1" x14ac:dyDescent="0.35">
      <c r="C24" s="32"/>
      <c r="D24" s="32"/>
      <c r="E24" s="32"/>
      <c r="F24" s="32"/>
      <c r="G24" s="32"/>
      <c r="H24" s="32"/>
      <c r="I24" s="32"/>
      <c r="M24" s="20" t="s">
        <v>63</v>
      </c>
      <c r="N24" s="3">
        <f>9400/7500</f>
        <v>1.2533333333333334</v>
      </c>
      <c r="O24" s="3">
        <f t="shared" si="5"/>
        <v>0.2506666666666667</v>
      </c>
      <c r="P24" s="23">
        <f t="shared" si="6"/>
        <v>1.2533333333333336E-2</v>
      </c>
      <c r="Q24" s="3">
        <f>11900/7500</f>
        <v>1.5866666666666667</v>
      </c>
      <c r="R24" s="3">
        <f t="shared" si="7"/>
        <v>0.31733333333333336</v>
      </c>
      <c r="S24" s="23">
        <f t="shared" si="8"/>
        <v>1.5866666666666668E-2</v>
      </c>
      <c r="T24" s="3">
        <f>14900/7500</f>
        <v>1.9866666666666666</v>
      </c>
      <c r="U24" s="3">
        <f t="shared" si="9"/>
        <v>0.39733333333333332</v>
      </c>
      <c r="V24" s="23">
        <f t="shared" si="10"/>
        <v>1.9866666666666668E-2</v>
      </c>
      <c r="W24" s="3">
        <f>18300/7500</f>
        <v>2.44</v>
      </c>
      <c r="X24" s="3">
        <f t="shared" si="11"/>
        <v>0.48799999999999999</v>
      </c>
      <c r="Y24" s="23">
        <f t="shared" si="12"/>
        <v>2.4400000000000002E-2</v>
      </c>
      <c r="Z24" s="3">
        <f>W24+12%*W24</f>
        <v>2.7328000000000001</v>
      </c>
      <c r="AA24" s="3">
        <f t="shared" si="13"/>
        <v>0.54656000000000005</v>
      </c>
      <c r="AB24" s="23">
        <f t="shared" si="14"/>
        <v>2.7328000000000005E-2</v>
      </c>
      <c r="AC24" s="3">
        <f>Z24+12%*Z24</f>
        <v>3.0607360000000003</v>
      </c>
      <c r="AD24" s="3">
        <f t="shared" si="15"/>
        <v>0.61214720000000011</v>
      </c>
      <c r="AE24" s="23">
        <f t="shared" si="16"/>
        <v>3.0607360000000007E-2</v>
      </c>
      <c r="AF24" s="3">
        <f>AC24+12%*AC24</f>
        <v>3.4280243200000005</v>
      </c>
      <c r="AG24" s="3">
        <f t="shared" si="17"/>
        <v>0.68560486400000009</v>
      </c>
      <c r="AH24" s="23">
        <f t="shared" si="18"/>
        <v>3.4280243200000005E-2</v>
      </c>
      <c r="AI24" s="3">
        <f>AF24+12%*AF24</f>
        <v>3.8393872384000005</v>
      </c>
      <c r="AJ24" s="3">
        <f t="shared" si="19"/>
        <v>0.7678774476800001</v>
      </c>
      <c r="AK24" s="23">
        <f t="shared" si="20"/>
        <v>3.8393872384000008E-2</v>
      </c>
      <c r="AL24" s="3">
        <f>AI24+12%*AI24</f>
        <v>4.3001137070080002</v>
      </c>
      <c r="AM24" s="3">
        <f t="shared" si="21"/>
        <v>0.86002274140160007</v>
      </c>
      <c r="AN24" s="23">
        <f t="shared" si="22"/>
        <v>4.3001137070080006E-2</v>
      </c>
    </row>
    <row r="25" spans="2:40" ht="15.6" thickTop="1" thickBot="1" x14ac:dyDescent="0.35">
      <c r="C25" s="32"/>
      <c r="D25" s="32"/>
      <c r="E25" s="32"/>
      <c r="F25" s="32"/>
      <c r="G25" s="32"/>
      <c r="H25" s="32"/>
      <c r="I25" s="32"/>
      <c r="M25" s="20" t="s">
        <v>64</v>
      </c>
      <c r="N25" s="3">
        <f>10100/7500</f>
        <v>1.3466666666666667</v>
      </c>
      <c r="O25" s="3">
        <f t="shared" si="5"/>
        <v>0.26933333333333337</v>
      </c>
      <c r="P25" s="23">
        <f t="shared" si="6"/>
        <v>1.3466666666666668E-2</v>
      </c>
      <c r="Q25" s="3">
        <f>11300/7500</f>
        <v>1.5066666666666666</v>
      </c>
      <c r="R25" s="3">
        <f t="shared" si="7"/>
        <v>0.30133333333333334</v>
      </c>
      <c r="S25" s="23">
        <f t="shared" si="8"/>
        <v>1.5066666666666667E-2</v>
      </c>
      <c r="T25" s="3">
        <f>12600/7500</f>
        <v>1.68</v>
      </c>
      <c r="U25" s="3">
        <f t="shared" si="9"/>
        <v>0.33600000000000002</v>
      </c>
      <c r="V25" s="23">
        <f t="shared" si="10"/>
        <v>1.6800000000000002E-2</v>
      </c>
      <c r="W25" s="3">
        <f>13800/7500</f>
        <v>1.84</v>
      </c>
      <c r="X25" s="3">
        <f t="shared" si="11"/>
        <v>0.36800000000000005</v>
      </c>
      <c r="Y25" s="23">
        <f t="shared" si="12"/>
        <v>1.8400000000000003E-2</v>
      </c>
      <c r="Z25" s="3">
        <f>W25+12%*W25</f>
        <v>2.0608</v>
      </c>
      <c r="AA25" s="3">
        <f t="shared" si="13"/>
        <v>0.41216000000000003</v>
      </c>
      <c r="AB25" s="23">
        <f t="shared" si="14"/>
        <v>2.0608000000000001E-2</v>
      </c>
      <c r="AC25" s="3">
        <f>Z25+12%*Z25</f>
        <v>2.3080959999999999</v>
      </c>
      <c r="AD25" s="3">
        <f t="shared" si="15"/>
        <v>0.46161920000000001</v>
      </c>
      <c r="AE25" s="23">
        <f t="shared" si="16"/>
        <v>2.3080960000000001E-2</v>
      </c>
      <c r="AF25" s="3">
        <f>AC25+12%*AC25</f>
        <v>2.58506752</v>
      </c>
      <c r="AG25" s="3">
        <f t="shared" si="17"/>
        <v>0.51701350400000001</v>
      </c>
      <c r="AH25" s="23">
        <f t="shared" si="18"/>
        <v>2.5850675200000003E-2</v>
      </c>
      <c r="AI25" s="3">
        <f>AF25+12%*AF25</f>
        <v>2.8952756223999998</v>
      </c>
      <c r="AJ25" s="3">
        <f t="shared" si="19"/>
        <v>0.57905512447999996</v>
      </c>
      <c r="AK25" s="23">
        <f t="shared" si="20"/>
        <v>2.8952756223999999E-2</v>
      </c>
      <c r="AL25" s="3">
        <f>AI25+12%*AI25</f>
        <v>3.2427086970879997</v>
      </c>
      <c r="AM25" s="3">
        <f t="shared" si="21"/>
        <v>0.64854173941759996</v>
      </c>
      <c r="AN25" s="23">
        <f t="shared" si="22"/>
        <v>3.2427086970880002E-2</v>
      </c>
    </row>
    <row r="26" spans="2:40" ht="15.6" thickTop="1" thickBot="1" x14ac:dyDescent="0.35">
      <c r="C26" s="32"/>
      <c r="D26" s="32"/>
      <c r="E26" s="32"/>
      <c r="F26" s="32"/>
      <c r="G26" s="32"/>
      <c r="H26" s="32"/>
      <c r="I26" s="32"/>
      <c r="M26" s="37" t="s">
        <v>68</v>
      </c>
      <c r="N26" s="3"/>
      <c r="O26" s="3"/>
      <c r="P26" s="23"/>
      <c r="Q26" s="3"/>
      <c r="R26" s="3"/>
      <c r="S26" s="23"/>
      <c r="T26" s="3"/>
      <c r="U26" s="3"/>
      <c r="V26" s="23"/>
      <c r="W26" s="3"/>
      <c r="X26" s="3"/>
      <c r="Y26" s="23"/>
      <c r="Z26" s="3"/>
      <c r="AA26" s="3"/>
      <c r="AB26" s="23"/>
      <c r="AC26" s="3"/>
      <c r="AD26" s="3"/>
      <c r="AE26" s="23"/>
      <c r="AF26" s="3"/>
      <c r="AG26" s="3"/>
      <c r="AH26" s="23"/>
      <c r="AI26" s="3"/>
      <c r="AJ26" s="3"/>
      <c r="AK26" s="23"/>
      <c r="AL26" s="3"/>
      <c r="AM26" s="3"/>
      <c r="AN26" s="23"/>
    </row>
    <row r="27" spans="2:40" ht="15.6" thickTop="1" thickBot="1" x14ac:dyDescent="0.35">
      <c r="C27" s="32"/>
      <c r="D27" s="32"/>
      <c r="E27" s="32"/>
      <c r="F27" s="32"/>
      <c r="G27" s="32"/>
      <c r="H27" s="32"/>
      <c r="I27" s="32"/>
      <c r="M27" s="39" t="s">
        <v>50</v>
      </c>
      <c r="N27" s="3">
        <f>D14+(22%*D14)</f>
        <v>0</v>
      </c>
      <c r="O27" s="3">
        <f t="shared" si="5"/>
        <v>0</v>
      </c>
      <c r="P27" s="23">
        <f t="shared" si="6"/>
        <v>0</v>
      </c>
      <c r="Q27" s="3">
        <f>N27+(22%*N27)</f>
        <v>0</v>
      </c>
      <c r="R27" s="3">
        <f t="shared" si="7"/>
        <v>0</v>
      </c>
      <c r="S27" s="23">
        <f t="shared" si="8"/>
        <v>0</v>
      </c>
      <c r="T27" s="3">
        <f>Q27+(22%*Q27)</f>
        <v>0</v>
      </c>
      <c r="U27" s="3">
        <f t="shared" si="9"/>
        <v>0</v>
      </c>
      <c r="V27" s="23">
        <f t="shared" si="10"/>
        <v>0</v>
      </c>
      <c r="W27" s="3">
        <v>0.9</v>
      </c>
      <c r="X27" s="3">
        <v>0.9</v>
      </c>
      <c r="Y27" s="23">
        <f t="shared" si="12"/>
        <v>4.5000000000000005E-2</v>
      </c>
      <c r="Z27" s="3">
        <f>W27+(25%*W27)</f>
        <v>1.125</v>
      </c>
      <c r="AA27" s="3">
        <f>X27+25%*X27</f>
        <v>1.125</v>
      </c>
      <c r="AB27" s="3">
        <f t="shared" si="14"/>
        <v>5.6250000000000001E-2</v>
      </c>
      <c r="AC27" s="3">
        <f>Z27+(35%*Z27)</f>
        <v>1.51875</v>
      </c>
      <c r="AD27" s="3">
        <f>AA27+35%*AA27</f>
        <v>1.51875</v>
      </c>
      <c r="AE27" s="3">
        <f t="shared" si="16"/>
        <v>7.5937500000000005E-2</v>
      </c>
      <c r="AF27" s="3">
        <f>AC27+(50%*AC27)</f>
        <v>2.2781250000000002</v>
      </c>
      <c r="AG27" s="3">
        <f>AD27+50%*AD27</f>
        <v>2.2781250000000002</v>
      </c>
      <c r="AH27" s="3">
        <f t="shared" si="18"/>
        <v>0.11390625000000001</v>
      </c>
      <c r="AI27" s="3">
        <f>AF27+(50%*AF27)</f>
        <v>3.4171875000000003</v>
      </c>
      <c r="AJ27" s="3">
        <f>AG27+50%*AG27</f>
        <v>3.4171875000000003</v>
      </c>
      <c r="AK27" s="3">
        <f t="shared" si="20"/>
        <v>0.17085937500000004</v>
      </c>
      <c r="AL27" s="3">
        <f>AI27+(50%*AI27)</f>
        <v>5.1257812500000002</v>
      </c>
      <c r="AM27" s="3">
        <f>AJ27+50%*AJ27</f>
        <v>5.1257812500000002</v>
      </c>
      <c r="AN27" s="3">
        <f t="shared" si="22"/>
        <v>0.2562890625</v>
      </c>
    </row>
    <row r="28" spans="2:40" ht="15.6" thickTop="1" thickBot="1" x14ac:dyDescent="0.35">
      <c r="C28" s="32"/>
      <c r="D28" s="32"/>
      <c r="E28" s="32"/>
      <c r="F28" s="32"/>
      <c r="G28" s="32"/>
      <c r="H28" s="32"/>
      <c r="I28" s="32"/>
      <c r="M28" s="39" t="s">
        <v>51</v>
      </c>
      <c r="N28" s="93">
        <v>8.9</v>
      </c>
      <c r="O28" s="3">
        <f t="shared" si="5"/>
        <v>1.7800000000000002</v>
      </c>
      <c r="P28" s="23">
        <f t="shared" si="6"/>
        <v>8.9000000000000024E-2</v>
      </c>
      <c r="Q28" s="3">
        <v>10.8</v>
      </c>
      <c r="R28" s="3">
        <f t="shared" si="7"/>
        <v>2.16</v>
      </c>
      <c r="S28" s="8">
        <f t="shared" si="4"/>
        <v>0.43200000000000005</v>
      </c>
      <c r="T28" s="3">
        <v>14.2</v>
      </c>
      <c r="U28" s="3">
        <f t="shared" si="9"/>
        <v>2.84</v>
      </c>
      <c r="V28" s="23">
        <f t="shared" si="10"/>
        <v>0.14199999999999999</v>
      </c>
      <c r="W28" s="3">
        <v>18.899999999999999</v>
      </c>
      <c r="X28" s="3">
        <f t="shared" si="11"/>
        <v>3.78</v>
      </c>
      <c r="Y28" s="23">
        <f t="shared" si="12"/>
        <v>0.189</v>
      </c>
      <c r="Z28" s="3">
        <f>W28+(27%*W28)</f>
        <v>24.003</v>
      </c>
      <c r="AA28" s="3">
        <f t="shared" si="13"/>
        <v>4.8006000000000002</v>
      </c>
      <c r="AB28" s="3">
        <f t="shared" si="14"/>
        <v>0.24003000000000002</v>
      </c>
      <c r="AC28" s="3">
        <f>Z28+27%*Z28</f>
        <v>30.483810000000002</v>
      </c>
      <c r="AD28" s="3">
        <f t="shared" si="15"/>
        <v>6.0967620000000009</v>
      </c>
      <c r="AE28" s="3">
        <f t="shared" si="16"/>
        <v>0.30483810000000006</v>
      </c>
      <c r="AF28" s="3">
        <f>AC28+27%*AC28</f>
        <v>38.714438700000002</v>
      </c>
      <c r="AG28" s="3">
        <f t="shared" si="17"/>
        <v>7.7428877400000005</v>
      </c>
      <c r="AH28" s="3">
        <f t="shared" si="18"/>
        <v>0.38714438700000003</v>
      </c>
      <c r="AI28" s="3">
        <f>AF28+27%*AF28</f>
        <v>49.167337149000005</v>
      </c>
      <c r="AJ28" s="3">
        <f t="shared" si="19"/>
        <v>9.8334674298000024</v>
      </c>
      <c r="AK28" s="3">
        <f t="shared" si="20"/>
        <v>0.49167337149000012</v>
      </c>
      <c r="AL28" s="3">
        <f>AI28+27%*AI28</f>
        <v>62.442518179230007</v>
      </c>
      <c r="AM28" s="3">
        <f t="shared" si="21"/>
        <v>12.488503635846001</v>
      </c>
      <c r="AN28" s="3">
        <f t="shared" si="22"/>
        <v>0.62442518179230011</v>
      </c>
    </row>
    <row r="29" spans="2:40" ht="15.6" thickTop="1" thickBot="1" x14ac:dyDescent="0.35">
      <c r="C29" s="32"/>
      <c r="D29" s="32"/>
      <c r="E29" s="32"/>
      <c r="F29" s="32"/>
      <c r="G29" s="32"/>
      <c r="H29" s="32"/>
      <c r="I29" s="32"/>
      <c r="M29" s="39" t="s">
        <v>69</v>
      </c>
      <c r="N29" s="3">
        <f>'Workings for ESDM'!G14</f>
        <v>5.095269488000001E-2</v>
      </c>
      <c r="O29" s="3">
        <f t="shared" si="5"/>
        <v>1.0190538976000002E-2</v>
      </c>
      <c r="P29" s="41">
        <f t="shared" si="6"/>
        <v>5.095269488000001E-4</v>
      </c>
      <c r="Q29" s="3">
        <f>'Workings for ESDM'!H14</f>
        <v>6.2162287753600012E-2</v>
      </c>
      <c r="R29" s="23">
        <f t="shared" si="7"/>
        <v>1.2432457550720004E-2</v>
      </c>
      <c r="S29" s="3">
        <f t="shared" si="4"/>
        <v>2.4864915101440008E-3</v>
      </c>
      <c r="T29" s="3">
        <f>'Workings for ESDM'!I14</f>
        <v>7.5837991059392013E-2</v>
      </c>
      <c r="U29" s="3">
        <f t="shared" si="9"/>
        <v>1.5167598211878403E-2</v>
      </c>
      <c r="V29" s="23">
        <f t="shared" si="10"/>
        <v>7.5837991059392014E-4</v>
      </c>
      <c r="W29" s="3">
        <f>'Workings for ESDM'!J14</f>
        <v>9.2522349092458253E-2</v>
      </c>
      <c r="X29" s="3">
        <f t="shared" si="11"/>
        <v>1.8504469818491652E-2</v>
      </c>
      <c r="Y29" s="23">
        <f t="shared" si="12"/>
        <v>9.2522349092458264E-4</v>
      </c>
      <c r="Z29" s="3">
        <f>'Workings for ESDM'!K14</f>
        <v>0.11287726589279906</v>
      </c>
      <c r="AA29" s="3">
        <f t="shared" si="13"/>
        <v>2.2575453178559815E-2</v>
      </c>
      <c r="AB29" s="3">
        <f t="shared" si="14"/>
        <v>1.1287726589279908E-3</v>
      </c>
      <c r="AC29" s="3">
        <f>'Workings for ESDM'!L14</f>
        <v>0.13771026438921485</v>
      </c>
      <c r="AD29" s="3">
        <f t="shared" si="15"/>
        <v>2.7542052877842973E-2</v>
      </c>
      <c r="AE29" s="3">
        <f t="shared" si="16"/>
        <v>1.3771026438921486E-3</v>
      </c>
      <c r="AF29" s="3">
        <f>'Workings for ESDM'!M14</f>
        <v>0.16800652255484211</v>
      </c>
      <c r="AG29" s="3">
        <f t="shared" si="17"/>
        <v>3.3601304510968426E-2</v>
      </c>
      <c r="AH29" s="3">
        <f t="shared" si="18"/>
        <v>1.6800652255484214E-3</v>
      </c>
      <c r="AI29" s="3">
        <f>'Workings for ESDM'!N14</f>
        <v>0.20496795751690738</v>
      </c>
      <c r="AJ29" s="3">
        <f t="shared" si="19"/>
        <v>4.0993591503381478E-2</v>
      </c>
      <c r="AK29" s="3">
        <f t="shared" si="20"/>
        <v>2.0496795751690738E-3</v>
      </c>
      <c r="AL29" s="3">
        <f>'Workings for ESDM'!O14</f>
        <v>0.25006090817062698</v>
      </c>
      <c r="AM29" s="3">
        <f t="shared" si="21"/>
        <v>5.0012181634125401E-2</v>
      </c>
      <c r="AN29" s="3">
        <f t="shared" si="22"/>
        <v>2.5006090817062702E-3</v>
      </c>
    </row>
    <row r="30" spans="2:40" ht="15.6" thickTop="1" thickBot="1" x14ac:dyDescent="0.35">
      <c r="C30" s="32"/>
      <c r="D30" s="32"/>
      <c r="E30" s="32"/>
      <c r="F30" s="32"/>
      <c r="G30" s="32"/>
      <c r="H30" s="32"/>
      <c r="I30" s="32"/>
      <c r="M30" s="20" t="s">
        <v>52</v>
      </c>
      <c r="N30" s="3">
        <f>D17+2.6%*D17</f>
        <v>4.6234638000000006</v>
      </c>
      <c r="O30" s="3">
        <f>N30*20%</f>
        <v>0.92469276000000011</v>
      </c>
      <c r="P30" s="3">
        <f>O30*5%</f>
        <v>4.6234638000000008E-2</v>
      </c>
      <c r="Q30" s="3">
        <f>N30+2.6%*N30</f>
        <v>4.7436738588000003</v>
      </c>
      <c r="R30" s="3">
        <f>Q30*20%</f>
        <v>0.9487347717600001</v>
      </c>
      <c r="S30" s="3">
        <f>R30*5%</f>
        <v>4.7436738588000009E-2</v>
      </c>
      <c r="T30" s="3">
        <f>Q30+2.6%*Q30</f>
        <v>4.8670093791288007</v>
      </c>
      <c r="U30" s="3">
        <f>T30*20%</f>
        <v>0.97340187582576021</v>
      </c>
      <c r="V30" s="23">
        <f>U30*5%</f>
        <v>4.8670093791288012E-2</v>
      </c>
      <c r="W30" s="3">
        <f>T30+2.6%*T30</f>
        <v>4.9935516229861499</v>
      </c>
      <c r="X30" s="3">
        <f>W30*20%</f>
        <v>0.99871032459722997</v>
      </c>
      <c r="Y30" s="23">
        <f>X30*5%</f>
        <v>4.9935516229861504E-2</v>
      </c>
      <c r="Z30" s="3">
        <f>W30+2.6%*W30</f>
        <v>5.1233839651837894</v>
      </c>
      <c r="AA30" s="3">
        <f>Z30*20%</f>
        <v>1.024676793036758</v>
      </c>
      <c r="AB30" s="23">
        <f>AA30*5%</f>
        <v>5.1233839651837899E-2</v>
      </c>
      <c r="AC30" s="3">
        <f>Z30+2.6%*Z30</f>
        <v>5.2565919482785679</v>
      </c>
      <c r="AD30" s="3">
        <f>AC30*20%</f>
        <v>1.0513183896557137</v>
      </c>
      <c r="AE30" s="23">
        <f>AD30*5%</f>
        <v>5.2565919482785689E-2</v>
      </c>
      <c r="AF30" s="3">
        <f>AC30+2.6%*AC30</f>
        <v>5.3932633389338109</v>
      </c>
      <c r="AG30" s="3">
        <f>AF30*20%</f>
        <v>1.0786526677867623</v>
      </c>
      <c r="AH30" s="23">
        <f>AG30*5%</f>
        <v>5.3932633389338118E-2</v>
      </c>
      <c r="AI30" s="3">
        <f>AF30+2.6%*AF30</f>
        <v>5.5334881857460898</v>
      </c>
      <c r="AJ30" s="3">
        <f>AI30*20%</f>
        <v>1.1066976371492181</v>
      </c>
      <c r="AK30" s="23">
        <f>AJ30*5%</f>
        <v>5.533488185746091E-2</v>
      </c>
      <c r="AL30" s="3">
        <f>AI30+2.6%*AI30</f>
        <v>5.6773588785754878</v>
      </c>
      <c r="AM30" s="3">
        <f>AL30*20%</f>
        <v>1.1354717757150976</v>
      </c>
      <c r="AN30" s="23">
        <f>AM30*5%</f>
        <v>5.6773588785754885E-2</v>
      </c>
    </row>
    <row r="31" spans="2:40" ht="15.6" thickTop="1" thickBot="1" x14ac:dyDescent="0.35">
      <c r="C31" s="32"/>
      <c r="D31" s="32"/>
      <c r="E31" s="32"/>
      <c r="F31" s="32"/>
      <c r="G31" s="32"/>
      <c r="H31" s="32"/>
      <c r="I31" s="32"/>
      <c r="M31" s="20" t="s">
        <v>67</v>
      </c>
      <c r="N31" s="3">
        <f>'Workings for ESDM'!F32</f>
        <v>0.97347611280000002</v>
      </c>
      <c r="O31" s="3">
        <f t="shared" ref="O31" si="23">N31*20%</f>
        <v>0.19469522256000002</v>
      </c>
      <c r="P31" s="3">
        <f t="shared" ref="P31" si="24">O31*5%</f>
        <v>9.734761128000001E-3</v>
      </c>
      <c r="Q31" s="3">
        <f>'Workings for ESDM'!G32</f>
        <v>1.187640857616</v>
      </c>
      <c r="R31" s="3">
        <f t="shared" ref="R31" si="25">Q31*20%</f>
        <v>0.23752817152320002</v>
      </c>
      <c r="S31" s="23">
        <f t="shared" ref="S31" si="26">R31*5%</f>
        <v>1.1876408576160001E-2</v>
      </c>
      <c r="T31" s="3">
        <f>'Workings for ESDM'!H32</f>
        <v>1.4489218462915201</v>
      </c>
      <c r="U31" s="3">
        <f t="shared" ref="U31" si="27">T31*20%</f>
        <v>0.28978436925830403</v>
      </c>
      <c r="V31" s="23">
        <f t="shared" ref="V31" si="28">U31*5%</f>
        <v>1.4489218462915203E-2</v>
      </c>
      <c r="W31" s="3">
        <f>'Workings for ESDM'!I32</f>
        <v>1.7676846524756544</v>
      </c>
      <c r="X31" s="3">
        <f t="shared" ref="X31" si="29">W31*20%</f>
        <v>0.35353693049513091</v>
      </c>
      <c r="Y31" s="23">
        <f t="shared" ref="Y31" si="30">X31*5%</f>
        <v>1.7676846524756547E-2</v>
      </c>
      <c r="Z31" s="3">
        <f>'Workings for ESDM'!J32</f>
        <v>2.1565752760202983</v>
      </c>
      <c r="AA31" s="3">
        <f t="shared" ref="AA31" si="31">Z31*20%</f>
        <v>0.43131505520405966</v>
      </c>
      <c r="AB31" s="23">
        <f t="shared" ref="AB31" si="32">AA31*5%</f>
        <v>2.1565752760202984E-2</v>
      </c>
      <c r="AC31" s="3">
        <f>'Workings for ESDM'!K32</f>
        <v>2.6310218367447638</v>
      </c>
      <c r="AD31" s="3">
        <f t="shared" ref="AD31" si="33">AC31*20%</f>
        <v>0.52620436734895282</v>
      </c>
      <c r="AE31" s="23">
        <f t="shared" ref="AE31" si="34">AD31*5%</f>
        <v>2.6310218367447642E-2</v>
      </c>
      <c r="AF31" s="3">
        <f>'Workings for ESDM'!L32</f>
        <v>3.2098466408286117</v>
      </c>
      <c r="AG31" s="3">
        <f t="shared" ref="AG31" si="35">AF31*20%</f>
        <v>0.64196932816572239</v>
      </c>
      <c r="AH31" s="23">
        <f t="shared" ref="AH31" si="36">AG31*5%</f>
        <v>3.2098466408286119E-2</v>
      </c>
      <c r="AI31" s="3">
        <f>'Workings for ESDM'!M32</f>
        <v>3.9160129018109062</v>
      </c>
      <c r="AJ31" s="3">
        <f t="shared" ref="AJ31" si="37">AI31*20%</f>
        <v>0.78320258036218127</v>
      </c>
      <c r="AK31" s="23">
        <f t="shared" ref="AK31" si="38">AJ31*5%</f>
        <v>3.9160129018109065E-2</v>
      </c>
      <c r="AL31" s="3">
        <f>'Workings for ESDM'!N32</f>
        <v>4.7775357402093057</v>
      </c>
      <c r="AM31" s="3">
        <f t="shared" ref="AM31" si="39">AL31*20%</f>
        <v>0.95550714804186121</v>
      </c>
      <c r="AN31" s="23">
        <f t="shared" ref="AN31" si="40">AM31*5%</f>
        <v>4.7775357402093065E-2</v>
      </c>
    </row>
    <row r="32" spans="2:40" ht="15.6" thickTop="1" thickBot="1" x14ac:dyDescent="0.35">
      <c r="C32" s="32"/>
      <c r="D32" s="32"/>
      <c r="E32" s="32"/>
      <c r="F32" s="32"/>
      <c r="G32" s="32"/>
      <c r="H32" s="32"/>
      <c r="I32" s="32"/>
      <c r="M32" s="35" t="s">
        <v>53</v>
      </c>
      <c r="N32" s="36">
        <f t="shared" ref="N32:AN32" si="41">SUM(N7:N30)</f>
        <v>121.57441649487998</v>
      </c>
      <c r="O32" s="36">
        <f t="shared" si="41"/>
        <v>24.314883298976007</v>
      </c>
      <c r="P32" s="36">
        <f t="shared" si="41"/>
        <v>1.2157441649488001</v>
      </c>
      <c r="Q32" s="36">
        <f t="shared" si="41"/>
        <v>157.37250281322031</v>
      </c>
      <c r="R32" s="36">
        <f t="shared" si="41"/>
        <v>31.474500562644057</v>
      </c>
      <c r="S32" s="36">
        <f t="shared" si="41"/>
        <v>1.8995898967648106</v>
      </c>
      <c r="T32" s="36">
        <f t="shared" si="41"/>
        <v>200.38951403685488</v>
      </c>
      <c r="U32" s="36">
        <f t="shared" si="41"/>
        <v>40.077902807370982</v>
      </c>
      <c r="V32" s="36">
        <f t="shared" si="41"/>
        <v>2.0038951403685488</v>
      </c>
      <c r="W32" s="36">
        <f t="shared" si="41"/>
        <v>313.36607397207854</v>
      </c>
      <c r="X32" s="36">
        <f t="shared" si="41"/>
        <v>63.393214794415726</v>
      </c>
      <c r="Y32" s="36">
        <f t="shared" si="41"/>
        <v>3.1696607397207868</v>
      </c>
      <c r="Z32" s="36">
        <f t="shared" si="41"/>
        <v>353.46186123107657</v>
      </c>
      <c r="AA32" s="36">
        <f t="shared" si="41"/>
        <v>71.592372246215334</v>
      </c>
      <c r="AB32" s="36">
        <f t="shared" si="41"/>
        <v>3.5796186123107656</v>
      </c>
      <c r="AC32" s="36">
        <f t="shared" si="41"/>
        <v>399.26617421266781</v>
      </c>
      <c r="AD32" s="36">
        <f t="shared" si="41"/>
        <v>81.068234842533556</v>
      </c>
      <c r="AE32" s="36">
        <f t="shared" si="41"/>
        <v>4.053411742126678</v>
      </c>
      <c r="AF32" s="36">
        <f t="shared" si="41"/>
        <v>451.84746300148862</v>
      </c>
      <c r="AG32" s="36">
        <f t="shared" si="41"/>
        <v>92.191992600297738</v>
      </c>
      <c r="AH32" s="36">
        <f t="shared" si="41"/>
        <v>4.6095996300148885</v>
      </c>
      <c r="AI32" s="36">
        <f t="shared" si="41"/>
        <v>512.25184576506297</v>
      </c>
      <c r="AJ32" s="36">
        <f t="shared" si="41"/>
        <v>105.1841191530126</v>
      </c>
      <c r="AK32" s="36">
        <f t="shared" si="41"/>
        <v>5.2592059576506296</v>
      </c>
      <c r="AL32" s="36">
        <f t="shared" si="41"/>
        <v>581.89604798551215</v>
      </c>
      <c r="AM32" s="36">
        <f t="shared" si="41"/>
        <v>120.47983459710244</v>
      </c>
      <c r="AN32" s="36">
        <f t="shared" si="41"/>
        <v>6.0239917298551209</v>
      </c>
    </row>
    <row r="33" spans="3:40" ht="15.6" thickTop="1" thickBot="1" x14ac:dyDescent="0.35">
      <c r="C33" s="32"/>
      <c r="D33" s="32"/>
      <c r="E33" s="32"/>
      <c r="F33" s="32"/>
      <c r="G33" s="32"/>
      <c r="H33" s="32"/>
      <c r="I33" s="32"/>
      <c r="M33" s="20" t="s">
        <v>55</v>
      </c>
      <c r="N33" s="11">
        <v>0</v>
      </c>
      <c r="O33" s="2">
        <v>0</v>
      </c>
      <c r="P33" s="8">
        <v>0</v>
      </c>
      <c r="Q33" s="3">
        <f>38852700/1000000000</f>
        <v>3.8852699999999997E-2</v>
      </c>
      <c r="R33" s="3">
        <f>Q33*20%</f>
        <v>7.7705399999999994E-3</v>
      </c>
      <c r="S33" s="23">
        <f t="shared" si="4"/>
        <v>1.554108E-3</v>
      </c>
      <c r="T33" s="3">
        <f>77705400/1000000000</f>
        <v>7.7705399999999994E-2</v>
      </c>
      <c r="U33" s="3">
        <f>T33*20%</f>
        <v>1.5541079999999999E-2</v>
      </c>
      <c r="V33" s="23">
        <f t="shared" ref="V33" si="42">U33*20%</f>
        <v>3.108216E-3</v>
      </c>
      <c r="W33" s="3">
        <f>1554108000/1000000000</f>
        <v>1.554108</v>
      </c>
      <c r="X33" s="3">
        <f>W33*20%</f>
        <v>0.31082160000000003</v>
      </c>
      <c r="Y33" s="23">
        <f t="shared" ref="Y33" si="43">X33*20%</f>
        <v>6.2164320000000009E-2</v>
      </c>
      <c r="Z33" s="3">
        <f>2978707000/1000000000</f>
        <v>2.978707</v>
      </c>
      <c r="AA33" s="3">
        <f>Z33*20%</f>
        <v>0.59574139999999998</v>
      </c>
      <c r="AB33" s="23">
        <f t="shared" ref="AB33" si="44">AA33*20%</f>
        <v>0.11914828</v>
      </c>
      <c r="AC33" s="3">
        <f>4403306000/1000000000</f>
        <v>4.4033059999999997</v>
      </c>
      <c r="AD33" s="3">
        <f>AC33*20%</f>
        <v>0.88066120000000003</v>
      </c>
      <c r="AE33" s="23">
        <f t="shared" ref="AE33" si="45">AD33*20%</f>
        <v>0.17613224000000002</v>
      </c>
      <c r="AF33" s="3"/>
      <c r="AG33" s="3"/>
      <c r="AH33" s="3"/>
      <c r="AI33" s="3"/>
      <c r="AJ33" s="3"/>
      <c r="AK33" s="3"/>
      <c r="AL33" s="3"/>
      <c r="AM33" s="3"/>
      <c r="AN33" s="3"/>
    </row>
    <row r="34" spans="3:40" ht="15.6" thickTop="1" thickBot="1" x14ac:dyDescent="0.35">
      <c r="C34" s="32"/>
      <c r="D34" s="32"/>
      <c r="E34" s="32"/>
      <c r="F34" s="32"/>
      <c r="G34" s="32"/>
      <c r="H34" s="32"/>
      <c r="I34" s="32"/>
      <c r="M34" s="2"/>
      <c r="N34" s="2"/>
      <c r="O34" s="2"/>
      <c r="P34" s="8"/>
      <c r="Q34" s="3"/>
      <c r="R34" s="3"/>
      <c r="S34" s="8">
        <f t="shared" si="4"/>
        <v>0</v>
      </c>
      <c r="T34" s="3"/>
      <c r="U34" s="3"/>
      <c r="V34" s="3"/>
      <c r="W34" s="3"/>
      <c r="X34" s="3"/>
      <c r="Y34" s="3"/>
      <c r="Z34" s="3"/>
      <c r="AA34" s="3"/>
      <c r="AB34" s="3"/>
      <c r="AC34" s="3"/>
      <c r="AD34" s="3"/>
      <c r="AE34" s="3"/>
      <c r="AF34" s="3"/>
      <c r="AG34" s="3"/>
      <c r="AH34" s="3"/>
      <c r="AI34" s="3"/>
      <c r="AJ34" s="3"/>
      <c r="AK34" s="3"/>
      <c r="AL34" s="3"/>
      <c r="AM34" s="3"/>
      <c r="AN34" s="3"/>
    </row>
    <row r="35" spans="3:40" ht="15.6" thickTop="1" thickBot="1" x14ac:dyDescent="0.35">
      <c r="M35" s="2"/>
      <c r="N35" s="2"/>
      <c r="O35" s="2"/>
      <c r="P35" s="2"/>
      <c r="Q35" s="2"/>
      <c r="R35" s="2"/>
      <c r="S35" s="8">
        <f t="shared" si="4"/>
        <v>0</v>
      </c>
      <c r="T35" s="2"/>
      <c r="U35" s="2"/>
      <c r="V35" s="2"/>
      <c r="W35" s="2"/>
      <c r="X35" s="2"/>
      <c r="Y35" s="2"/>
      <c r="Z35" s="2"/>
      <c r="AA35" s="2"/>
      <c r="AB35" s="2"/>
      <c r="AC35" s="2"/>
      <c r="AD35" s="2"/>
      <c r="AE35" s="2"/>
      <c r="AF35" s="2"/>
      <c r="AG35" s="2"/>
      <c r="AH35" s="2"/>
      <c r="AI35" s="2"/>
      <c r="AJ35" s="2"/>
      <c r="AK35" s="2"/>
      <c r="AL35" s="2"/>
      <c r="AM35" s="2"/>
      <c r="AN35" s="2"/>
    </row>
    <row r="36" spans="3:40" ht="15.6" thickTop="1" thickBot="1" x14ac:dyDescent="0.35">
      <c r="G36" s="26"/>
      <c r="I36" s="26"/>
      <c r="M36" s="2"/>
      <c r="N36" s="2"/>
      <c r="O36" s="2"/>
      <c r="P36" s="8"/>
      <c r="Q36" s="3"/>
      <c r="R36" s="3"/>
      <c r="S36" s="8">
        <f t="shared" si="4"/>
        <v>0</v>
      </c>
      <c r="T36" s="3"/>
      <c r="U36" s="3"/>
      <c r="V36" s="3"/>
      <c r="W36" s="3"/>
      <c r="X36" s="3"/>
      <c r="Y36" s="3"/>
      <c r="Z36" s="3"/>
      <c r="AA36" s="3"/>
      <c r="AB36" s="3"/>
      <c r="AC36" s="3"/>
      <c r="AD36" s="3"/>
      <c r="AE36" s="3"/>
      <c r="AF36" s="3"/>
      <c r="AG36" s="3"/>
      <c r="AH36" s="3"/>
      <c r="AI36" s="3"/>
      <c r="AJ36" s="3"/>
      <c r="AK36" s="3"/>
      <c r="AL36" s="3"/>
      <c r="AM36" s="3"/>
      <c r="AN36" s="3"/>
    </row>
    <row r="37" spans="3:40" s="7" customFormat="1" ht="16.8" thickTop="1" thickBot="1" x14ac:dyDescent="0.35">
      <c r="C37" s="27"/>
      <c r="D37" s="27"/>
      <c r="E37" s="27"/>
      <c r="F37" s="27"/>
      <c r="G37" s="27"/>
      <c r="H37" s="27"/>
      <c r="I37" s="27"/>
      <c r="M37" s="10" t="s">
        <v>54</v>
      </c>
      <c r="N37" s="10">
        <f>SUM(N32+N33)</f>
        <v>121.57441649487998</v>
      </c>
      <c r="O37" s="10">
        <f>SUM(O32+O33)</f>
        <v>24.314883298976007</v>
      </c>
      <c r="P37" s="10">
        <f t="shared" ref="P37:AN37" si="46">SUM(P32+P33)</f>
        <v>1.2157441649488001</v>
      </c>
      <c r="Q37" s="10">
        <f t="shared" si="46"/>
        <v>157.41135551322031</v>
      </c>
      <c r="R37" s="10">
        <f t="shared" si="46"/>
        <v>31.482271102644056</v>
      </c>
      <c r="S37" s="10">
        <f t="shared" si="46"/>
        <v>1.9011440047648107</v>
      </c>
      <c r="T37" s="10">
        <f t="shared" si="46"/>
        <v>200.46721943685489</v>
      </c>
      <c r="U37" s="10">
        <f t="shared" si="46"/>
        <v>40.093443887370981</v>
      </c>
      <c r="V37" s="10">
        <f t="shared" si="46"/>
        <v>2.007003356368549</v>
      </c>
      <c r="W37" s="10">
        <f t="shared" si="46"/>
        <v>314.92018197207852</v>
      </c>
      <c r="X37" s="10">
        <f t="shared" si="46"/>
        <v>63.704036394415724</v>
      </c>
      <c r="Y37" s="10">
        <f t="shared" si="46"/>
        <v>3.2318250597207867</v>
      </c>
      <c r="Z37" s="10">
        <f t="shared" si="46"/>
        <v>356.44056823107655</v>
      </c>
      <c r="AA37" s="10">
        <f t="shared" si="46"/>
        <v>72.188113646215328</v>
      </c>
      <c r="AB37" s="10">
        <f t="shared" si="46"/>
        <v>3.6987668923107657</v>
      </c>
      <c r="AC37" s="10">
        <f t="shared" si="46"/>
        <v>403.66948021266779</v>
      </c>
      <c r="AD37" s="10">
        <f t="shared" si="46"/>
        <v>81.948896042533562</v>
      </c>
      <c r="AE37" s="10">
        <f t="shared" si="46"/>
        <v>4.2295439821266783</v>
      </c>
      <c r="AF37" s="10">
        <f t="shared" si="46"/>
        <v>451.84746300148862</v>
      </c>
      <c r="AG37" s="10">
        <f t="shared" si="46"/>
        <v>92.191992600297738</v>
      </c>
      <c r="AH37" s="10">
        <f t="shared" si="46"/>
        <v>4.6095996300148885</v>
      </c>
      <c r="AI37" s="10">
        <f t="shared" si="46"/>
        <v>512.25184576506297</v>
      </c>
      <c r="AJ37" s="10">
        <f t="shared" si="46"/>
        <v>105.1841191530126</v>
      </c>
      <c r="AK37" s="10">
        <f t="shared" si="46"/>
        <v>5.2592059576506296</v>
      </c>
      <c r="AL37" s="10">
        <f t="shared" si="46"/>
        <v>581.89604798551215</v>
      </c>
      <c r="AM37" s="10">
        <f t="shared" si="46"/>
        <v>120.47983459710244</v>
      </c>
      <c r="AN37" s="10">
        <f t="shared" si="46"/>
        <v>6.0239917298551209</v>
      </c>
    </row>
    <row r="38" spans="3:40" ht="15" thickTop="1" x14ac:dyDescent="0.3">
      <c r="Q38" s="7"/>
      <c r="R38" s="7"/>
      <c r="S38" s="7"/>
      <c r="T38" s="7"/>
      <c r="U38" s="7"/>
      <c r="W38" s="7"/>
      <c r="X38" s="7"/>
    </row>
    <row r="39" spans="3:40" ht="18" x14ac:dyDescent="0.35">
      <c r="M39" s="21"/>
      <c r="N39" s="111"/>
      <c r="O39" s="111"/>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row>
    <row r="40" spans="3:40" s="1" customFormat="1" ht="18" x14ac:dyDescent="0.35">
      <c r="C40" s="34"/>
      <c r="M40" s="28"/>
    </row>
    <row r="41" spans="3:40" x14ac:dyDescent="0.3">
      <c r="C41" s="34"/>
      <c r="D41" s="34"/>
      <c r="E41" s="34"/>
      <c r="G41" s="34"/>
      <c r="H41" s="34"/>
      <c r="I41" s="34"/>
      <c r="J41" s="34"/>
      <c r="K41" s="34"/>
      <c r="W41" s="29"/>
      <c r="Z41" s="29"/>
      <c r="AC41" s="29"/>
      <c r="AF41" s="29"/>
      <c r="AI41" s="29"/>
      <c r="AL41" s="29"/>
    </row>
    <row r="42" spans="3:40" x14ac:dyDescent="0.3">
      <c r="W42" s="29"/>
      <c r="Z42" s="29"/>
      <c r="AC42" s="29"/>
      <c r="AF42" s="29"/>
      <c r="AI42" s="29"/>
      <c r="AL42" s="29"/>
    </row>
    <row r="43" spans="3:40" x14ac:dyDescent="0.3">
      <c r="W43" s="29"/>
      <c r="Z43" s="29"/>
      <c r="AC43" s="29"/>
      <c r="AF43" s="29"/>
      <c r="AI43" s="29"/>
      <c r="AL43" s="29"/>
    </row>
    <row r="44" spans="3:40" x14ac:dyDescent="0.3">
      <c r="W44" s="29"/>
      <c r="Z44" s="29"/>
      <c r="AC44" s="29"/>
      <c r="AF44" s="29"/>
      <c r="AI44" s="29"/>
      <c r="AL44" s="29"/>
    </row>
    <row r="45" spans="3:40" ht="15.6" x14ac:dyDescent="0.3">
      <c r="M45" s="15"/>
      <c r="N45" s="15"/>
      <c r="O45" s="15"/>
      <c r="P45" s="15"/>
      <c r="Q45" s="15"/>
      <c r="R45" s="15"/>
      <c r="S45" s="15"/>
      <c r="T45" s="15"/>
      <c r="U45" s="30"/>
      <c r="V45" s="15"/>
      <c r="W45" s="30"/>
      <c r="X45" s="30"/>
      <c r="Y45" s="15"/>
      <c r="Z45" s="30"/>
      <c r="AA45" s="30"/>
      <c r="AB45" s="15"/>
      <c r="AC45" s="30"/>
      <c r="AD45" s="30"/>
      <c r="AE45" s="30"/>
      <c r="AF45" s="30"/>
      <c r="AG45" s="30"/>
      <c r="AH45" s="30"/>
      <c r="AI45" s="30"/>
      <c r="AJ45" s="30"/>
      <c r="AK45" s="30"/>
      <c r="AL45" s="30"/>
      <c r="AM45" s="15"/>
      <c r="AN45" s="30"/>
    </row>
    <row r="46" spans="3:40" ht="15.6" x14ac:dyDescent="0.3">
      <c r="M46" s="15"/>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row>
    <row r="48" spans="3:40" ht="15.6" x14ac:dyDescent="0.3">
      <c r="C48" s="15"/>
      <c r="D48" s="15"/>
      <c r="E48" s="15"/>
      <c r="F48" s="15"/>
      <c r="G48" s="15"/>
      <c r="H48" s="15"/>
      <c r="I48" s="15"/>
      <c r="J48" s="15"/>
      <c r="K48" s="15"/>
    </row>
    <row r="52" spans="3:7" ht="15" thickBot="1" x14ac:dyDescent="0.35"/>
    <row r="53" spans="3:7" ht="16.8" thickTop="1" thickBot="1" x14ac:dyDescent="0.35">
      <c r="C53" s="95" t="s">
        <v>38</v>
      </c>
      <c r="D53" s="95"/>
      <c r="E53" s="95"/>
      <c r="F53" s="95"/>
    </row>
    <row r="54" spans="3:7" ht="15.6" thickTop="1" thickBot="1" x14ac:dyDescent="0.35">
      <c r="C54" s="2"/>
      <c r="D54" s="2"/>
      <c r="E54" s="2"/>
      <c r="F54" s="2"/>
    </row>
    <row r="55" spans="3:7" ht="16.8" thickTop="1" thickBot="1" x14ac:dyDescent="0.35">
      <c r="C55" s="2"/>
      <c r="D55" s="2"/>
      <c r="E55" s="9" t="s">
        <v>33</v>
      </c>
      <c r="F55" s="9" t="s">
        <v>34</v>
      </c>
    </row>
    <row r="56" spans="3:7" ht="15.6" thickTop="1" thickBot="1" x14ac:dyDescent="0.35">
      <c r="C56" s="2" t="s">
        <v>35</v>
      </c>
      <c r="D56" s="2"/>
      <c r="E56" s="19">
        <v>0.12</v>
      </c>
      <c r="F56" s="19">
        <v>0.1</v>
      </c>
    </row>
    <row r="57" spans="3:7" ht="15.6" thickTop="1" thickBot="1" x14ac:dyDescent="0.35">
      <c r="C57" s="2" t="s">
        <v>37</v>
      </c>
      <c r="D57" s="2"/>
      <c r="E57" s="19">
        <v>0.4</v>
      </c>
      <c r="F57" s="19">
        <v>0.25</v>
      </c>
    </row>
    <row r="58" spans="3:7" ht="15.6" thickTop="1" thickBot="1" x14ac:dyDescent="0.35">
      <c r="C58" s="2" t="s">
        <v>36</v>
      </c>
      <c r="D58" s="2"/>
      <c r="E58" s="19">
        <v>0.15</v>
      </c>
      <c r="F58" s="19">
        <v>0.12</v>
      </c>
      <c r="G58" t="s">
        <v>45</v>
      </c>
    </row>
    <row r="59" spans="3:7" ht="15.6" thickTop="1" thickBot="1" x14ac:dyDescent="0.35">
      <c r="C59" s="2" t="s">
        <v>39</v>
      </c>
      <c r="D59" s="2"/>
      <c r="E59" s="19">
        <v>0.2</v>
      </c>
      <c r="F59" s="19">
        <v>0.15</v>
      </c>
    </row>
    <row r="60" spans="3:7" ht="15.6" thickTop="1" thickBot="1" x14ac:dyDescent="0.35">
      <c r="C60" s="2"/>
      <c r="D60" s="2"/>
      <c r="E60" s="2"/>
      <c r="F60" s="2"/>
    </row>
    <row r="61" spans="3:7" ht="15" thickTop="1" x14ac:dyDescent="0.3"/>
  </sheetData>
  <mergeCells count="19">
    <mergeCell ref="T5:V5"/>
    <mergeCell ref="W5:Y5"/>
    <mergeCell ref="Z5:AB5"/>
    <mergeCell ref="AC5:AE5"/>
    <mergeCell ref="AI39:AK39"/>
    <mergeCell ref="AL39:AN39"/>
    <mergeCell ref="C53:F53"/>
    <mergeCell ref="AF5:AH5"/>
    <mergeCell ref="AI5:AK5"/>
    <mergeCell ref="AL5:AN5"/>
    <mergeCell ref="N39:P39"/>
    <mergeCell ref="Q39:S39"/>
    <mergeCell ref="T39:V39"/>
    <mergeCell ref="W39:Y39"/>
    <mergeCell ref="Z39:AB39"/>
    <mergeCell ref="AC39:AE39"/>
    <mergeCell ref="AF39:AH39"/>
    <mergeCell ref="N5:P5"/>
    <mergeCell ref="Q5:S5"/>
  </mergeCells>
  <pageMargins left="0.7" right="0.7" top="0.75" bottom="0.75" header="0.3" footer="0.3"/>
  <pageSetup orientation="portrait" horizontalDpi="1200" verticalDpi="1200"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AC6BC-FC85-4885-AA21-2B81FCDEDB31}">
  <dimension ref="C3:P35"/>
  <sheetViews>
    <sheetView workbookViewId="0">
      <selection activeCell="D23" sqref="D23"/>
    </sheetView>
  </sheetViews>
  <sheetFormatPr defaultRowHeight="14.4" x14ac:dyDescent="0.3"/>
  <cols>
    <col min="3" max="3" width="56.21875" bestFit="1" customWidth="1"/>
    <col min="4" max="4" width="8.77734375" customWidth="1"/>
    <col min="5" max="5" width="15.77734375" bestFit="1" customWidth="1"/>
    <col min="6" max="7" width="8.77734375" customWidth="1"/>
    <col min="9" max="12" width="8.77734375" customWidth="1"/>
  </cols>
  <sheetData>
    <row r="3" spans="3:15" x14ac:dyDescent="0.3">
      <c r="C3" s="43" t="s">
        <v>50</v>
      </c>
      <c r="D3" s="43"/>
    </row>
    <row r="4" spans="3:15" x14ac:dyDescent="0.3">
      <c r="C4">
        <v>15</v>
      </c>
      <c r="D4" s="38">
        <v>0.22</v>
      </c>
    </row>
    <row r="5" spans="3:15" x14ac:dyDescent="0.3">
      <c r="C5">
        <v>2020</v>
      </c>
      <c r="D5">
        <v>2021</v>
      </c>
      <c r="E5">
        <v>2022</v>
      </c>
      <c r="F5">
        <v>2023</v>
      </c>
      <c r="G5">
        <v>2024</v>
      </c>
      <c r="H5">
        <v>2025</v>
      </c>
      <c r="I5">
        <v>2026</v>
      </c>
      <c r="J5">
        <v>2027</v>
      </c>
      <c r="K5">
        <v>2028</v>
      </c>
      <c r="L5">
        <v>2029</v>
      </c>
      <c r="M5">
        <v>2030</v>
      </c>
    </row>
    <row r="6" spans="3:15" x14ac:dyDescent="0.3">
      <c r="C6" s="7">
        <f>C4</f>
        <v>15</v>
      </c>
      <c r="D6" s="7">
        <f t="shared" ref="D6:M6" si="0">C6+(C6*$D$4)</f>
        <v>18.3</v>
      </c>
      <c r="E6" s="7">
        <f t="shared" si="0"/>
        <v>22.326000000000001</v>
      </c>
      <c r="F6" s="7">
        <f t="shared" si="0"/>
        <v>27.237719999999999</v>
      </c>
      <c r="G6" s="7">
        <f t="shared" si="0"/>
        <v>33.230018399999999</v>
      </c>
      <c r="H6" s="7">
        <f t="shared" si="0"/>
        <v>40.540622448000001</v>
      </c>
      <c r="I6" s="7">
        <f t="shared" si="0"/>
        <v>49.459559386560002</v>
      </c>
      <c r="J6" s="7">
        <f t="shared" si="0"/>
        <v>60.340662451603201</v>
      </c>
      <c r="K6" s="7">
        <f t="shared" si="0"/>
        <v>73.615608190955911</v>
      </c>
      <c r="L6" s="7">
        <f t="shared" si="0"/>
        <v>89.81104199296621</v>
      </c>
      <c r="M6" s="7">
        <f t="shared" si="0"/>
        <v>109.56947123141877</v>
      </c>
    </row>
    <row r="9" spans="3:15" x14ac:dyDescent="0.3">
      <c r="H9">
        <f xml:space="preserve"> C4*(1+0.22)^5</f>
        <v>40.540622447999993</v>
      </c>
      <c r="M9">
        <f xml:space="preserve"> C4*(1+0.22)^10</f>
        <v>109.56947123141872</v>
      </c>
    </row>
    <row r="11" spans="3:15" x14ac:dyDescent="0.3">
      <c r="C11" s="43" t="s">
        <v>69</v>
      </c>
      <c r="D11" s="43"/>
      <c r="E11" s="43"/>
      <c r="F11" s="43"/>
      <c r="G11" s="43"/>
      <c r="H11" s="43"/>
    </row>
    <row r="12" spans="3:15" x14ac:dyDescent="0.3">
      <c r="C12">
        <f>23/1000</f>
        <v>2.3E-2</v>
      </c>
      <c r="D12" s="38">
        <v>0.21</v>
      </c>
    </row>
    <row r="13" spans="3:15" x14ac:dyDescent="0.3">
      <c r="C13">
        <v>2018</v>
      </c>
      <c r="D13">
        <v>2019</v>
      </c>
      <c r="E13">
        <v>2020</v>
      </c>
      <c r="F13">
        <v>2021</v>
      </c>
      <c r="G13">
        <v>2022</v>
      </c>
      <c r="H13">
        <v>2023</v>
      </c>
      <c r="I13">
        <v>2024</v>
      </c>
      <c r="J13">
        <v>2025</v>
      </c>
      <c r="K13">
        <v>2026</v>
      </c>
      <c r="L13">
        <v>2027</v>
      </c>
      <c r="M13">
        <v>2028</v>
      </c>
      <c r="N13">
        <v>2029</v>
      </c>
      <c r="O13">
        <v>2030</v>
      </c>
    </row>
    <row r="14" spans="3:15" x14ac:dyDescent="0.3">
      <c r="C14" s="7">
        <f>C12</f>
        <v>2.3E-2</v>
      </c>
      <c r="D14" s="7">
        <f t="shared" ref="D14:O14" si="1">C14+(C14*$D$4)</f>
        <v>2.8060000000000002E-2</v>
      </c>
      <c r="E14" s="7">
        <f t="shared" si="1"/>
        <v>3.4233200000000005E-2</v>
      </c>
      <c r="F14" s="7">
        <f t="shared" si="1"/>
        <v>4.1764504000000008E-2</v>
      </c>
      <c r="G14" s="7">
        <f t="shared" si="1"/>
        <v>5.095269488000001E-2</v>
      </c>
      <c r="H14" s="7">
        <f t="shared" si="1"/>
        <v>6.2162287753600012E-2</v>
      </c>
      <c r="I14" s="7">
        <f t="shared" si="1"/>
        <v>7.5837991059392013E-2</v>
      </c>
      <c r="J14" s="7">
        <f t="shared" si="1"/>
        <v>9.2522349092458253E-2</v>
      </c>
      <c r="K14" s="7">
        <f t="shared" si="1"/>
        <v>0.11287726589279906</v>
      </c>
      <c r="L14" s="7">
        <f t="shared" si="1"/>
        <v>0.13771026438921485</v>
      </c>
      <c r="M14" s="7">
        <f t="shared" si="1"/>
        <v>0.16800652255484211</v>
      </c>
      <c r="N14" s="7">
        <f t="shared" si="1"/>
        <v>0.20496795751690738</v>
      </c>
      <c r="O14" s="7">
        <f t="shared" si="1"/>
        <v>0.25006090817062698</v>
      </c>
    </row>
    <row r="17" spans="3:16" x14ac:dyDescent="0.3">
      <c r="H17">
        <f xml:space="preserve"> C12*(1+0.22)^5</f>
        <v>6.2162287753599992E-2</v>
      </c>
      <c r="M17">
        <f xml:space="preserve"> C12*(1+0.22)^10</f>
        <v>0.16800652255484202</v>
      </c>
    </row>
    <row r="20" spans="3:16" x14ac:dyDescent="0.3">
      <c r="C20" s="43" t="s">
        <v>70</v>
      </c>
      <c r="D20" s="43"/>
      <c r="E20" s="43"/>
      <c r="F20" s="43"/>
      <c r="G20" s="43"/>
      <c r="H20" s="43"/>
      <c r="I20" s="43"/>
    </row>
    <row r="21" spans="3:16" x14ac:dyDescent="0.3">
      <c r="C21">
        <f>11.2/1000</f>
        <v>1.12E-2</v>
      </c>
      <c r="D21" s="38">
        <v>0.32</v>
      </c>
    </row>
    <row r="22" spans="3:16" x14ac:dyDescent="0.3">
      <c r="C22">
        <v>2017</v>
      </c>
      <c r="D22">
        <v>2018</v>
      </c>
      <c r="E22">
        <v>2019</v>
      </c>
      <c r="F22">
        <v>2020</v>
      </c>
      <c r="G22">
        <v>2021</v>
      </c>
      <c r="H22">
        <v>2022</v>
      </c>
      <c r="I22">
        <v>2023</v>
      </c>
      <c r="J22">
        <v>2024</v>
      </c>
      <c r="K22">
        <v>2025</v>
      </c>
      <c r="L22">
        <v>2026</v>
      </c>
      <c r="M22">
        <v>2027</v>
      </c>
      <c r="N22">
        <v>2028</v>
      </c>
      <c r="O22">
        <v>2029</v>
      </c>
      <c r="P22">
        <v>2030</v>
      </c>
    </row>
    <row r="23" spans="3:16" x14ac:dyDescent="0.3">
      <c r="C23" s="40">
        <f>C21</f>
        <v>1.12E-2</v>
      </c>
      <c r="D23" s="40">
        <f t="shared" ref="D23:P23" si="2">C23+(C23*$D$4)</f>
        <v>1.3663999999999999E-2</v>
      </c>
      <c r="E23" s="40">
        <f t="shared" si="2"/>
        <v>1.667008E-2</v>
      </c>
      <c r="F23" s="40">
        <f t="shared" si="2"/>
        <v>2.0337497600000001E-2</v>
      </c>
      <c r="G23" s="40">
        <f t="shared" si="2"/>
        <v>2.4811747072000002E-2</v>
      </c>
      <c r="H23" s="40">
        <f t="shared" si="2"/>
        <v>3.0270331427840004E-2</v>
      </c>
      <c r="I23" s="40">
        <f t="shared" si="2"/>
        <v>3.6929804341964807E-2</v>
      </c>
      <c r="J23" s="40">
        <f t="shared" si="2"/>
        <v>4.5054361297197067E-2</v>
      </c>
      <c r="K23" s="40">
        <f t="shared" si="2"/>
        <v>5.4966320782580423E-2</v>
      </c>
      <c r="L23" s="40">
        <f t="shared" si="2"/>
        <v>6.7058911354748119E-2</v>
      </c>
      <c r="M23" s="40">
        <f t="shared" si="2"/>
        <v>8.1811871852792706E-2</v>
      </c>
      <c r="N23" s="40">
        <f t="shared" si="2"/>
        <v>9.9810483660407096E-2</v>
      </c>
      <c r="O23" s="40">
        <f t="shared" si="2"/>
        <v>0.12176879006569666</v>
      </c>
      <c r="P23" s="40">
        <f t="shared" si="2"/>
        <v>0.14855792388014993</v>
      </c>
    </row>
    <row r="26" spans="3:16" x14ac:dyDescent="0.3">
      <c r="H26">
        <f xml:space="preserve"> C21*(1+0.22)^5</f>
        <v>3.0270331427839997E-2</v>
      </c>
      <c r="M26">
        <f xml:space="preserve"> C21*(1+0.22)^10</f>
        <v>8.181187185279265E-2</v>
      </c>
    </row>
    <row r="29" spans="3:16" x14ac:dyDescent="0.3">
      <c r="C29" s="43" t="s">
        <v>67</v>
      </c>
      <c r="D29" s="43"/>
      <c r="E29" s="43"/>
    </row>
    <row r="30" spans="3:16" x14ac:dyDescent="0.3">
      <c r="C30">
        <f>536.1/1000</f>
        <v>0.53610000000000002</v>
      </c>
      <c r="D30" s="38">
        <v>0.221</v>
      </c>
    </row>
    <row r="31" spans="3:16" x14ac:dyDescent="0.3">
      <c r="C31">
        <v>2019</v>
      </c>
      <c r="D31">
        <v>2020</v>
      </c>
      <c r="E31">
        <v>2021</v>
      </c>
      <c r="F31">
        <v>2022</v>
      </c>
      <c r="G31">
        <v>2023</v>
      </c>
      <c r="H31">
        <v>2024</v>
      </c>
      <c r="I31">
        <v>2025</v>
      </c>
      <c r="J31">
        <v>2026</v>
      </c>
      <c r="K31">
        <v>2027</v>
      </c>
      <c r="L31">
        <v>2028</v>
      </c>
      <c r="M31">
        <v>2029</v>
      </c>
      <c r="N31">
        <v>2030</v>
      </c>
    </row>
    <row r="32" spans="3:16" x14ac:dyDescent="0.3">
      <c r="C32" s="7">
        <f>C30</f>
        <v>0.53610000000000002</v>
      </c>
      <c r="D32" s="7">
        <f t="shared" ref="D32:N32" si="3">C32+(C32*$D$4)</f>
        <v>0.65404200000000001</v>
      </c>
      <c r="E32" s="7">
        <f t="shared" si="3"/>
        <v>0.79793124000000004</v>
      </c>
      <c r="F32" s="7">
        <f t="shared" si="3"/>
        <v>0.97347611280000002</v>
      </c>
      <c r="G32" s="7">
        <f t="shared" si="3"/>
        <v>1.187640857616</v>
      </c>
      <c r="H32" s="7">
        <f t="shared" si="3"/>
        <v>1.4489218462915201</v>
      </c>
      <c r="I32" s="7">
        <f t="shared" si="3"/>
        <v>1.7676846524756544</v>
      </c>
      <c r="J32" s="7">
        <f t="shared" si="3"/>
        <v>2.1565752760202983</v>
      </c>
      <c r="K32" s="7">
        <f t="shared" si="3"/>
        <v>2.6310218367447638</v>
      </c>
      <c r="L32" s="7">
        <f t="shared" si="3"/>
        <v>3.2098466408286117</v>
      </c>
      <c r="M32" s="7">
        <f t="shared" si="3"/>
        <v>3.9160129018109062</v>
      </c>
      <c r="N32" s="7">
        <f t="shared" si="3"/>
        <v>4.7775357402093057</v>
      </c>
    </row>
    <row r="35" spans="8:13" x14ac:dyDescent="0.3">
      <c r="H35">
        <f xml:space="preserve"> C30*(1+0.22)^5</f>
        <v>1.4489218462915199</v>
      </c>
      <c r="M35">
        <f xml:space="preserve"> C30*(1+0.22)^10</f>
        <v>3.9160129018109053</v>
      </c>
    </row>
  </sheetData>
  <pageMargins left="0.7" right="0.7" top="0.75" bottom="0.75" header="0.3" footer="0.3"/>
  <pageSetup orientation="portrait" horizontalDpi="1200" verticalDpi="1200"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D038E-04AC-4082-817A-6B5935673E4D}">
  <dimension ref="A2:L20"/>
  <sheetViews>
    <sheetView workbookViewId="0">
      <selection activeCell="D20" sqref="D20"/>
    </sheetView>
  </sheetViews>
  <sheetFormatPr defaultRowHeight="14.4" x14ac:dyDescent="0.3"/>
  <cols>
    <col min="3" max="3" width="13.88671875" bestFit="1" customWidth="1"/>
    <col min="5" max="5" width="13.21875" bestFit="1" customWidth="1"/>
  </cols>
  <sheetData>
    <row r="2" spans="1:12" x14ac:dyDescent="0.3">
      <c r="C2" t="s">
        <v>133</v>
      </c>
      <c r="L2" t="s">
        <v>135</v>
      </c>
    </row>
    <row r="4" spans="1:12" x14ac:dyDescent="0.3">
      <c r="A4" s="32" t="s">
        <v>132</v>
      </c>
    </row>
    <row r="6" spans="1:12" x14ac:dyDescent="0.3">
      <c r="D6" t="s">
        <v>129</v>
      </c>
      <c r="E6" t="s">
        <v>130</v>
      </c>
      <c r="F6" t="s">
        <v>131</v>
      </c>
    </row>
    <row r="7" spans="1:12" x14ac:dyDescent="0.3">
      <c r="B7" t="s">
        <v>128</v>
      </c>
      <c r="C7" s="29">
        <v>370000000000</v>
      </c>
      <c r="D7">
        <f>C7/1000000000</f>
        <v>370</v>
      </c>
      <c r="E7" s="70">
        <v>4723306384.5500002</v>
      </c>
      <c r="F7" s="7">
        <f>E7/1000000000</f>
        <v>4.7233063845499998</v>
      </c>
    </row>
    <row r="8" spans="1:12" x14ac:dyDescent="0.3">
      <c r="D8">
        <f>C8/1000000000</f>
        <v>0</v>
      </c>
      <c r="F8" s="7"/>
    </row>
    <row r="9" spans="1:12" x14ac:dyDescent="0.3">
      <c r="B9" t="s">
        <v>126</v>
      </c>
      <c r="C9" s="29">
        <v>1000000000000</v>
      </c>
      <c r="D9">
        <f>C9/1000000000</f>
        <v>1000</v>
      </c>
      <c r="E9" s="70">
        <v>12767496002.030001</v>
      </c>
      <c r="F9" s="7">
        <f>E9/1000000000</f>
        <v>12.767496002030001</v>
      </c>
    </row>
    <row r="10" spans="1:12" x14ac:dyDescent="0.3">
      <c r="F10" s="7"/>
    </row>
    <row r="11" spans="1:12" x14ac:dyDescent="0.3">
      <c r="B11" t="s">
        <v>127</v>
      </c>
      <c r="C11" s="29">
        <v>1500000000000</v>
      </c>
      <c r="D11">
        <v>1500</v>
      </c>
      <c r="E11" s="70">
        <v>19151244003</v>
      </c>
      <c r="F11" s="7">
        <f>E11/1000000000</f>
        <v>19.151244002999999</v>
      </c>
    </row>
    <row r="13" spans="1:12" x14ac:dyDescent="0.3">
      <c r="A13" s="32" t="s">
        <v>134</v>
      </c>
    </row>
    <row r="15" spans="1:12" x14ac:dyDescent="0.3">
      <c r="D15" t="s">
        <v>129</v>
      </c>
      <c r="E15" t="s">
        <v>130</v>
      </c>
      <c r="F15" t="s">
        <v>131</v>
      </c>
    </row>
    <row r="16" spans="1:12" x14ac:dyDescent="0.3">
      <c r="B16" t="s">
        <v>128</v>
      </c>
      <c r="C16" s="29">
        <v>366590000000</v>
      </c>
      <c r="D16">
        <f>C16/1000000000</f>
        <v>366.59</v>
      </c>
      <c r="E16" s="70">
        <v>4678495658.54</v>
      </c>
      <c r="F16" s="7">
        <f>E16/1000000000</f>
        <v>4.6784956585400002</v>
      </c>
    </row>
    <row r="17" spans="2:6" x14ac:dyDescent="0.3">
      <c r="D17">
        <f>C17/1000000000</f>
        <v>0</v>
      </c>
      <c r="F17" s="7"/>
    </row>
    <row r="18" spans="2:6" x14ac:dyDescent="0.3">
      <c r="B18" t="s">
        <v>126</v>
      </c>
      <c r="C18" s="29"/>
      <c r="E18" s="70"/>
      <c r="F18" s="7">
        <f>F16+21%*F16</f>
        <v>5.6609797468333998</v>
      </c>
    </row>
    <row r="19" spans="2:6" x14ac:dyDescent="0.3">
      <c r="F19" s="7"/>
    </row>
    <row r="20" spans="2:6" x14ac:dyDescent="0.3">
      <c r="C20" s="29"/>
      <c r="E20" s="70"/>
      <c r="F20" s="7"/>
    </row>
  </sheetData>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Assumptions</vt:lpstr>
      <vt:lpstr>Estimation of Revenue</vt:lpstr>
      <vt:lpstr>Final Employment Estimation</vt:lpstr>
      <vt:lpstr>Beyond Bengaluru Workings</vt:lpstr>
      <vt:lpstr>Startups and GDP Calculation</vt:lpstr>
      <vt:lpstr>Sheet1</vt:lpstr>
      <vt:lpstr>Sheet2</vt:lpstr>
      <vt:lpstr>ESDM Sector</vt:lpstr>
      <vt:lpstr>Workings for ESDM</vt:lpstr>
      <vt:lpstr>Sub sector workings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Nandish, Nikhil</dc:creator>
  <cp:lastModifiedBy>Nikhil  Nandish (KDEM)</cp:lastModifiedBy>
  <dcterms:created xsi:type="dcterms:W3CDTF">2015-06-05T18:17:20Z</dcterms:created>
  <dcterms:modified xsi:type="dcterms:W3CDTF">2022-12-28T07:17:09Z</dcterms:modified>
</cp:coreProperties>
</file>