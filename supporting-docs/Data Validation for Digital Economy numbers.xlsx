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https://karnatakadigital-my.sharepoint.com/personal/ra1_karnatakadigital_in/Documents/Desktop/DE Numbers and Annual Plan/Data Validation/Finalized numbers/"/>
    </mc:Choice>
  </mc:AlternateContent>
  <xr:revisionPtr revIDLastSave="483" documentId="11_F25DC773A252ABDACC1048D6C15848625ADE58ED" xr6:coauthVersionLast="47" xr6:coauthVersionMax="47" xr10:uidLastSave="{C78E0B03-F6C0-4D1C-8650-20396E8AF94E}"/>
  <bookViews>
    <workbookView xWindow="-108" yWindow="-108" windowWidth="23256" windowHeight="12456" activeTab="1" xr2:uid="{00000000-000D-0000-FFFF-FFFF00000000}"/>
  </bookViews>
  <sheets>
    <sheet name="Base value validation" sheetId="1" r:id="rId1"/>
    <sheet name="Finalized numbers" sheetId="4" r:id="rId2"/>
    <sheet name="India Digital Economy projectio" sheetId="3" r:id="rId3"/>
  </sheets>
  <definedNames>
    <definedName name="_xlnm.Print_Area" localSheetId="0">'Base value validation'!$B$2:$R$24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 i="4" l="1"/>
  <c r="N22" i="4"/>
  <c r="F22" i="4"/>
  <c r="F17" i="4"/>
  <c r="H10" i="4"/>
  <c r="H10" i="1"/>
  <c r="F4" i="3"/>
  <c r="G4" i="3" s="1"/>
  <c r="H4" i="3" s="1"/>
  <c r="I4" i="3" s="1"/>
  <c r="J4" i="3" s="1"/>
  <c r="E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tc={8CD94B12-FD8B-4C71-B592-C03A0FB38C28}</author>
    <author>tc={EDE4DAF1-FCEA-4BB0-9B11-D50BCE02C85C}</author>
    <author>tc={C6897CAC-7A62-4BE5-BE90-12ED54EF0408}</author>
    <author>tc={DE2679AE-7DD2-46C1-9602-C949F115B7C8}</author>
    <author>tc={118B4F99-CEE8-48E6-8829-E9980E82DE1B}</author>
    <author>tc={7DDE4776-4622-41E2-B714-BEAC5082EB66}</author>
    <author>tc={77E0195E-DBC3-4443-9A6B-E59DECF51B88}</author>
    <author>tc={A77B8E6D-C1D7-4F4E-87E7-DDE6CF42682C}</author>
    <author>tc={472CFC4F-7F46-4A1C-8DDD-036E4168BF7E}</author>
    <author>tc={D863F539-5DD8-4F9C-A6DF-336386361272}</author>
    <author>tc={5BAF665A-5CAC-445D-8046-7BD62A2BB899}</author>
    <author>tc={0DD285DC-F0E4-408B-8CAC-63D5FE4F3783}</author>
    <author>tc={C5B8EFB1-FE5C-4DCB-9135-6B2B37422A8B}</author>
    <author>tc={E3C8FE3B-3321-4594-A293-D82CBB0F5DE3}</author>
    <author>tc={774ED4B6-3FD3-4502-914E-7F0ECDF0D638}</author>
    <author>tc={ABF87400-BF4F-4F09-938C-280169246C64}</author>
    <author>tc={092F69A8-0F4C-4097-AC78-032C0142008B}</author>
    <author>tc={EAFA67DE-3110-49BB-B404-85D1BA1F903B}</author>
    <author>tc={6CEA81E3-C44D-4DCA-A948-834A6E222CFC}</author>
    <author>tc={90EA9AFB-C063-41E5-A780-CE96E8B8935E}</author>
    <author>tc={B3701A35-C774-44BB-B48A-8303A0164F46}</author>
    <author>tc={1C87A91E-4EA3-46C7-BF6D-326FC007E734}</author>
    <author>tc={415D87C4-DD9C-41CB-BBCE-ED1AA654B07A}</author>
    <author>tc={28A4C027-C1B8-49F5-B3FD-B12E87E13D4B}</author>
    <author>tc={43D9EE46-FAB0-4721-91B8-87C2E7399D0D}</author>
    <author>tc={C471EE1C-28B6-4D35-8C8C-F2B1E8E98474}</author>
    <author>tc={41F80E2E-B0CB-46B5-9596-C3CD7C218984}</author>
    <author>tc={9F9AF9C3-9390-4ADA-A919-EF41E04EF557}</author>
    <author>tc={C7BD78AB-B4C5-41DB-8815-9E1ADB94FD2D}</author>
    <author>tc={0DDE0DA8-22E6-4EE7-9D22-848B1C59D107}</author>
    <author>tc={67690B1D-4F7D-4DF0-97E1-7FA38815CB5D}</author>
    <author>tc={32D29FF8-C2C1-43E1-B42D-1C41B16992C5}</author>
    <author>tc={E6B3F4CE-42D8-4803-851F-445736E9DF5B}</author>
    <author>tc={831916A9-0348-481D-8959-D0F3D18A554F}</author>
    <author>tc={32ED23B4-6BF5-42E3-8612-3B99DE62B700}</author>
    <author>tc={D495B73D-ED3D-4287-8C2F-1B14F97E3897}</author>
    <author>tc={64D30E0C-0F13-485A-8431-30DE51C8BB4F}</author>
  </authors>
  <commentList>
    <comment ref="E7" authorId="0" shapeId="0" xr:uid="{8CD94B12-FD8B-4C71-B592-C03A0FB38C28}">
      <text>
        <t>[Threaded comment]
Your version of Excel allows you to read this threaded comment; however, any edits to it will get removed if the file is opened in a newer version of Excel. Learn more: https://go.microsoft.com/fwlink/?linkid=870924
Comment:
    Based on IBEF Projections
As per NASSCOM it is 151 Bn</t>
      </text>
    </comment>
    <comment ref="F7" authorId="1" shapeId="0" xr:uid="{EDE4DAF1-FCEA-4BB0-9B11-D50BCE02C85C}">
      <text>
        <t>[Threaded comment]
Your version of Excel allows you to read this threaded comment; however, any edits to it will get removed if the file is opened in a newer version of Excel. Learn more: https://go.microsoft.com/fwlink/?linkid=870924
Comment:
    Assumed at 38% of Karnataka share (Source: RBI)</t>
      </text>
    </comment>
    <comment ref="H7" authorId="2" shapeId="0" xr:uid="{C6897CAC-7A62-4BE5-BE90-12ED54EF0408}">
      <text>
        <t>[Threaded comment]
Your version of Excel allows you to read this threaded comment; however, any edits to it will get removed if the file is opened in a newer version of Excel. Learn more: https://go.microsoft.com/fwlink/?linkid=870924
Comment:
    Based on IBEF Projections
As per NASSCOM it is 45 Bn</t>
      </text>
    </comment>
    <comment ref="I7" authorId="3" shapeId="0" xr:uid="{DE2679AE-7DD2-46C1-9602-C949F115B7C8}">
      <text>
        <t>[Threaded comment]
Your version of Excel allows you to read this threaded comment; however, any edits to it will get removed if the file is opened in a newer version of Excel. Learn more: https://go.microsoft.com/fwlink/?linkid=870924
Comment:
    Assumed at 30% of Karnataka share</t>
      </text>
    </comment>
    <comment ref="K7" authorId="4" shapeId="0" xr:uid="{118B4F99-CEE8-48E6-8829-E9980E82DE1B}">
      <text>
        <t>[Threaded comment]
Your version of Excel allows you to read this threaded comment; however, any edits to it will get removed if the file is opened in a newer version of Excel. Learn more: https://go.microsoft.com/fwlink/?linkid=870924
Comment:
    As per ICEA estimates - MeitY presentation</t>
      </text>
    </comment>
    <comment ref="L7" authorId="5" shapeId="0" xr:uid="{7DDE4776-4622-41E2-B714-BEAC5082EB66}">
      <text>
        <t>[Threaded comment]
Your version of Excel allows you to read this threaded comment; however, any edits to it will get removed if the file is opened in a newer version of Excel. Learn more: https://go.microsoft.com/fwlink/?linkid=870924
Comment:
    Assumed at 20% of Karnataka share (As per Invest Karnataka GoK, 40% of National share in electronic design, 10%
Contribution to the country’s electronic industrial output, 50%
National share in Electronic product companies)
https://investkarnataka.co.in/sectors/electronic-system-design-manufacturing/</t>
      </text>
    </comment>
    <comment ref="N7" authorId="6" shapeId="0" xr:uid="{77E0195E-DBC3-4443-9A6B-E59DECF51B88}">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t>
      </text>
    </comment>
    <comment ref="O7" authorId="7" shapeId="0" xr:uid="{A77B8E6D-C1D7-4F4E-87E7-DDE6CF42682C}">
      <text>
        <t>[Threaded comment]
Your version of Excel allows you to read this threaded comment; however, any edits to it will get removed if the file is opened in a newer version of Excel. Learn more: https://go.microsoft.com/fwlink/?linkid=870924
Comment:
    Assumed at 40% of Karnataka share</t>
      </text>
    </comment>
    <comment ref="E8" authorId="8" shapeId="0" xr:uid="{472CFC4F-7F46-4A1C-8DDD-036E4168BF7E}">
      <text>
        <t>[Threaded comment]
Your version of Excel allows you to read this threaded comment; however, any edits to it will get removed if the file is opened in a newer version of Excel. Learn more: https://go.microsoft.com/fwlink/?linkid=870924
Comment:
    https://www.rbi.org.in/scripts/BS_PressReleaseDisplay.aspx?prid=52258
RBI Report for 5 years</t>
      </text>
    </comment>
    <comment ref="H8" authorId="9" shapeId="0" xr:uid="{D863F539-5DD8-4F9C-A6DF-336386361272}">
      <text>
        <t>[Threaded comment]
Your version of Excel allows you to read this threaded comment; however, any edits to it will get removed if the file is opened in a newer version of Excel. Learn more: https://go.microsoft.com/fwlink/?linkid=870924
Comment:
    https://www.statista.com/statistics/533578/india-it-industry-export-domestic-market-size/</t>
      </text>
    </comment>
    <comment ref="I8" authorId="10" shapeId="0" xr:uid="{5BAF665A-5CAC-445D-8046-7BD62A2BB899}">
      <text>
        <t>[Threaded comment]
Your version of Excel allows you to read this threaded comment; however, any edits to it will get removed if the file is opened in a newer version of Excel. Learn more: https://go.microsoft.com/fwlink/?linkid=870924
Comment:
    Assumed at 30% of Karnataka share</t>
      </text>
    </comment>
    <comment ref="Q10" authorId="11" shapeId="0" xr:uid="{0DD285DC-F0E4-408B-8CAC-63D5FE4F3783}">
      <text>
        <t>[Threaded comment]
Your version of Excel allows you to read this threaded comment; however, any edits to it will get removed if the file is opened in a newer version of Excel. Learn more: https://go.microsoft.com/fwlink/?linkid=870924
Comment:
    Assumptions for the sub sectors based on McKinsey Global Institute Digital India Report for India level (Page 110 of MeitY Report) and                                      and the assumptions based on the BCG estimation for Karnataka based on 19 themes as prepared by BCG (Followed MeitY report for reference)</t>
      </text>
    </comment>
    <comment ref="R10" authorId="12" shapeId="0" xr:uid="{C5B8EFB1-FE5C-4DCB-9135-6B2B37422A8B}">
      <text>
        <t>[Threaded comment]
Your version of Excel allows you to read this threaded comment; however, any edits to it will get removed if the file is opened in a newer version of Excel. Learn more: https://go.microsoft.com/fwlink/?linkid=870924
Comment:
    Matched as per BCG estimation done for Karnataka</t>
      </text>
    </comment>
    <comment ref="E11" authorId="13" shapeId="0" xr:uid="{E3C8FE3B-3321-4594-A293-D82CBB0F5DE3}">
      <text>
        <t>[Threaded comment]
Your version of Excel allows you to read this threaded comment; however, any edits to it will get removed if the file is opened in a newer version of Excel. Learn more: https://go.microsoft.com/fwlink/?linkid=870924
Comment:
    Based on NASSCOM projections - https://nasscom.in/knowledge-center/publications/technology-sector-india-2022-strategic-review
Additionally 170 Bn mentioned in Inc 42 startup ecosystem report 22</t>
      </text>
    </comment>
    <comment ref="F11" authorId="14" shapeId="0" xr:uid="{774ED4B6-3FD3-4502-914E-7F0ECDF0D638}">
      <text>
        <t>[Threaded comment]
Your version of Excel allows you to read this threaded comment; however, any edits to it will get removed if the file is opened in a newer version of Excel. Learn more: https://go.microsoft.com/fwlink/?linkid=870924
Comment:
    Software &amp; Service Exports - RBI estimation and also additionally As per Indian Express article, Indian software exports in the current financial year are estimated to be worth $170 billion USD with Karnataka contributing an estimated 38 per cent</t>
      </text>
    </comment>
    <comment ref="H11" authorId="15" shapeId="0" xr:uid="{ABF87400-BF4F-4F09-938C-280169246C64}">
      <text>
        <t>[Threaded comment]
Your version of Excel allows you to read this threaded comment; however, any edits to it will get removed if the file is opened in a newer version of Excel. Learn more: https://go.microsoft.com/fwlink/?linkid=870924
Comment:
    Assuming $ 227 Bn of Total Revenue during the year 22, IT Domestic would be total minus the IT Exports which would arrive at ~57 Bn (We have considered at $ 57 Bn)                               Additionally  Referred IBEF report and Business standard article)</t>
      </text>
    </comment>
    <comment ref="K11" authorId="16" shapeId="0" xr:uid="{092F69A8-0F4C-4097-AC78-032C0142008B}">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N11" authorId="17" shapeId="0" xr:uid="{EAFA67DE-3110-49BB-B404-85D1BA1F903B}">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 Based on Mr. Pai's guidance, we have considered it at ~10 Bn (Assuming 51% growth over FY 20 (As for FY 19 to FY 20 at 51% growth in overall revenue)</t>
      </text>
    </comment>
    <comment ref="O11" authorId="18" shapeId="0" xr:uid="{6CEA81E3-C44D-4DCA-A948-834A6E222CFC}">
      <text>
        <t xml:space="preserve">[Threaded comment]
Your version of Excel allows you to read this threaded comment; however, any edits to it will get removed if the file is opened in a newer version of Excel. Learn more: https://go.microsoft.com/fwlink/?linkid=870924
Comment:
    Bengaluru, being one of India’s largest cities contributing to ~40% of Unicorns </t>
      </text>
    </comment>
    <comment ref="R11" authorId="19" shapeId="0" xr:uid="{90EA9AFB-C063-41E5-A780-CE96E8B8935E}">
      <text>
        <t>[Threaded comment]
Your version of Excel allows you to read this threaded comment; however, any edits to it will get removed if the file is opened in a newer version of Excel. Learn more: https://go.microsoft.com/fwlink/?linkid=870924
Comment:
    Karnataka would reach ~35 Bn by the year 2025-26</t>
      </text>
    </comment>
    <comment ref="E12" authorId="20" shapeId="0" xr:uid="{B3701A35-C774-44BB-B48A-8303A0164F46}">
      <text>
        <t>[Threaded comment]
Your version of Excel allows you to read this threaded comment; however, any edits to it will get removed if the file is opened in a newer version of Excel. Learn more: https://go.microsoft.com/fwlink/?linkid=870924
Comment:
    https://www.rbi.org.in/scripts/BS_PressReleaseDisplay.aspx?prid=54338#:~:text=India%27s%20exports%20of%20software%20services%20(excluding%20exports%20through%20commercial%20presence,of%20total%20software%20services%20exports.</t>
      </text>
    </comment>
    <comment ref="H12" authorId="21" shapeId="0" xr:uid="{1C87A91E-4EA3-46C7-BF6D-326FC007E734}">
      <text>
        <t>[Threaded comment]
Your version of Excel allows you to read this threaded comment; however, any edits to it will get removed if the file is opened in a newer version of Excel. Learn more: https://go.microsoft.com/fwlink/?linkid=870924
Comment:
    https://www.statista.com/statistics/533578/india-it-industry-export-domestic-market-size/</t>
      </text>
    </comment>
    <comment ref="I12" authorId="22" shapeId="0" xr:uid="{415D87C4-DD9C-41CB-BBCE-ED1AA654B07A}">
      <text>
        <t>[Threaded comment]
Your version of Excel allows you to read this threaded comment; however, any edits to it will get removed if the file is opened in a newer version of Excel. Learn more: https://go.microsoft.com/fwlink/?linkid=870924
Comment:
    Assumed at 30% of Karnataka share</t>
      </text>
    </comment>
    <comment ref="K12" authorId="23" shapeId="0" xr:uid="{28A4C027-C1B8-49F5-B3FD-B12E87E13D4B}">
      <text>
        <t>[Threaded comment]
Your version of Excel allows you to read this threaded comment; however, any edits to it will get removed if the file is opened in a newer version of Excel. Learn more: https://go.microsoft.com/fwlink/?linkid=870924
Comment:
    1. Projected to reach an economic value of 400 Bn by the eyar 2025 as per Cabinet approval proposal of National Policy of electronics 2019 https://pib.gov.in/PressReleaseIframePage.aspx?PRID=15652852. It is estimated that India would generate ~100-130 Bn economic opportunity by the year 2025
https://www.investindia.gov.in/siru/electronic-systems-design-and-manufacturing-india-120-bn-market-opportunity</t>
      </text>
    </comment>
    <comment ref="E18" authorId="24" shapeId="0" xr:uid="{43D9EE46-FAB0-4721-91B8-87C2E7399D0D}">
      <text>
        <t>[Threaded comment]
Your version of Excel allows you to read this threaded comment; however, any edits to it will get removed if the file is opened in a newer version of Excel. Learn more: https://go.microsoft.com/fwlink/?linkid=870924
Comment:
    https://www.meity.gov.in/content/employment  and additional Statista Reference - https://www.statista.com/statistics/320729/india-it-industry-direct-indirect-employment/</t>
      </text>
    </comment>
    <comment ref="N18" authorId="25" shapeId="0" xr:uid="{C471EE1C-28B6-4D35-8C8C-F2B1E8E98474}">
      <text>
        <t>[Threaded comment]
Your version of Excel allows you to read this threaded comment; however, any edits to it will get removed if the file is opened in a newer version of Excel. Learn more: https://go.microsoft.com/fwlink/?linkid=870924
Comment:
    Based on BV Sir suggestion, we have changed it to Assuming ~53000 startups in India employing about ~20 people per startup, we arrive at 10,60,000 employees</t>
      </text>
    </comment>
    <comment ref="E19" authorId="26" shapeId="0" xr:uid="{41F80E2E-B0CB-46B5-9596-C3CD7C218984}">
      <text>
        <t>[Threaded comment]
Your version of Excel allows you to read this threaded comment; however, any edits to it will get removed if the file is opened in a newer version of Excel. Learn more: https://go.microsoft.com/fwlink/?linkid=870924
Comment:
    https://www.timesnownews.com/business-economy/industry/indias-it-sector-directly-employed-51-lakh-in-fy22-article-93328748
Additionally, Page 9 of IBEF Report</t>
      </text>
    </comment>
    <comment ref="E23" authorId="27" shapeId="0" xr:uid="{9F9AF9C3-9390-4ADA-A919-EF41E04EF557}">
      <text>
        <t>[Threaded comment]
Your version of Excel allows you to read this threaded comment; however, any edits to it will get removed if the file is opened in a newer version of Excel. Learn more: https://go.microsoft.com/fwlink/?linkid=870924
Comment:
    Statista Reference - https://www.statista.com/statistics/320729/india-it-industry-direct-indirect-employment/
Additionally, https://trak.in/tags/business/2022/02/17/indian-it-sector-now-has-50-lakh-employees-becomes-1-employer-in-india/</t>
      </text>
    </comment>
    <comment ref="F23" authorId="28" shapeId="0" xr:uid="{C7BD78AB-B4C5-41DB-8815-9E1ADB94FD2D}">
      <text>
        <t>[Threaded comment]
Your version of Excel allows you to read this threaded comment; however, any edits to it will get removed if the file is opened in a newer version of Excel. Learn more: https://go.microsoft.com/fwlink/?linkid=870924
Comment:
    Based on 38% assumption</t>
      </text>
    </comment>
    <comment ref="H23" authorId="29" shapeId="0" xr:uid="{0DDE0DA8-22E6-4EE7-9D22-848B1C59D107}">
      <text>
        <t>[Threaded comment]
Your version of Excel allows you to read this threaded comment; however, any edits to it will get removed if the file is opened in a newer version of Excel. Learn more: https://go.microsoft.com/fwlink/?linkid=870924
Comment:
    Considering 20% of exports value of 45,00,000</t>
      </text>
    </comment>
    <comment ref="I23" authorId="30" shapeId="0" xr:uid="{67690B1D-4F7D-4DF0-97E1-7FA38815CB5D}">
      <text>
        <t>[Threaded comment]
Your version of Excel allows you to read this threaded comment; however, any edits to it will get removed if the file is opened in a newer version of Excel. Learn more: https://go.microsoft.com/fwlink/?linkid=870924
Comment:
    Based on 30% for Karnataka share</t>
      </text>
    </comment>
    <comment ref="K23" authorId="31" shapeId="0" xr:uid="{32D29FF8-C2C1-43E1-B42D-1C41B16992C5}">
      <text>
        <t>[Threaded comment]
Your version of Excel allows you to read this threaded comment; however, any edits to it will get removed if the file is opened in a newer version of Excel. Learn more: https://go.microsoft.com/fwlink/?linkid=870924
Comment:
    Assuming 7.5 Bn USD employable talent (As Salaries payable), converting it at Rs.79 per USD, we arrive at INR 599,266,618,485 (~59,932 Crores). Assuming a CTC of Rs.8,00,000 per person working in the field of ESDM, we have around 12 people working per crore. Multiplying 59,932 Crores *12, we arrive at 7,19,190 or 0.7 Mn for India level employability</t>
      </text>
    </comment>
    <comment ref="N23" authorId="32" shapeId="0" xr:uid="{E6B3F4CE-42D8-4803-851F-445736E9DF5B}">
      <text>
        <t>[Threaded comment]
Your version of Excel allows you to read this threaded comment; however, any edits to it will get removed if the file is opened in a newer version of Excel. Learn more: https://go.microsoft.com/fwlink/?linkid=870924
Comment:
    Assumption based on Inc 42 India startup ecosystem report and additionally Based on BV Sir suggestion, we have changed it to Assuming ~57000 startups in India employing about ~20 people per startup, we arrive at 10,60,000 employees, earlier we had considered at 15,00,000 employees</t>
      </text>
    </comment>
    <comment ref="O23" authorId="33" shapeId="0" xr:uid="{831916A9-0348-481D-8959-D0F3D18A554F}">
      <text>
        <t>[Threaded comment]
Your version of Excel allows you to read this threaded comment; however, any edits to it will get removed if the file is opened in a newer version of Excel. Learn more: https://go.microsoft.com/fwlink/?linkid=870924
Comment:
    Assumed at 40% for Karnataka share</t>
      </text>
    </comment>
    <comment ref="E24" authorId="34" shapeId="0" xr:uid="{32ED23B4-6BF5-42E3-8612-3B99DE62B700}">
      <text>
        <t>[Threaded comment]
Your version of Excel allows you to read this threaded comment; however, any edits to it will get removed if the file is opened in a newer version of Excel. Learn more: https://go.microsoft.com/fwlink/?linkid=870924
Comment:
    https://www.timesnownews.com/business-economy/industry/indias-it-sector-directly-employed-51-lakh-in-fy22-article-93328748
Additionally, Page 9 of IBEF Report
Additionally 5 Mn employment as per Inc 42 Indian startup ecosystem report</t>
      </text>
    </comment>
    <comment ref="H24" authorId="35" shapeId="0" xr:uid="{D495B73D-ED3D-4287-8C2F-1B14F97E3897}">
      <text>
        <t>[Threaded comment]
Your version of Excel allows you to read this threaded comment; however, any edits to it will get removed if the file is opened in a newer version of Excel. Learn more: https://go.microsoft.com/fwlink/?linkid=870924
Comment:
    Can we consider a combination of both IT Exports and IT domestic as a total for 4.5 Mn</t>
      </text>
    </comment>
    <comment ref="K24" authorId="36" shapeId="0" xr:uid="{64D30E0C-0F13-485A-8431-30DE51C8BB4F}">
      <text>
        <t>[Threaded comment]
Your version of Excel allows you to read this threaded comment; however, any edits to it will get removed if the file is opened in a newer version of Excel. Learn more: https://go.microsoft.com/fwlink/?linkid=870924
Comment:
    Currently employs approximately 13 Mn direct and indirect jobs https://www.investindia.gov.in/siru/electronic-systems-design-and-manufacturing-india-120-bn-market-opportunity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tc={A84FC0B0-1E49-441A-9580-0CCC8EF18A06}</author>
    <author>tc={ECECA233-5B45-4C02-A450-9E7DCAD6DB5F}</author>
    <author>tc={732F2FCB-B48F-47A4-8296-287D7A0D5A58}</author>
    <author>tc={2AB85AB3-E5C5-4C6F-80E6-286C759D6194}</author>
    <author>tc={67FE73FD-42D7-4D8C-99A2-390E4236730C}</author>
    <author>tc={62DE068F-57FC-4C4C-A576-2244CFE8FABC}</author>
    <author>tc={8CA8D4A4-A763-41C2-B0CC-FCDC2F79A4DB}</author>
    <author>tc={0A780DD6-5CD0-4796-B70F-7E69CF44F97B}</author>
    <author>tc={52DBD54A-7C87-4DDD-B9F3-4E1A57CA19A0}</author>
    <author>tc={2E25BBF8-D883-4F45-8614-FD0442DAE93D}</author>
    <author>tc={4E7CDE5C-7CA8-4B48-9A05-20D4C1E80605}</author>
    <author>tc={D0B23B17-25B0-4A4D-857C-F4CC8987CB28}</author>
    <author>tc={4B62BAA6-0510-4218-B41C-03EA622EB958}</author>
    <author>tc={E69462E9-6641-4213-BF29-9C7ECB4AA215}</author>
    <author>tc={8CD1DD19-667E-46B2-9AC9-82E1040FD8EA}</author>
    <author>tc={D2191305-9EB6-40A9-82EB-1F4EB297D91B}</author>
    <author>tc={273659D3-1C61-4565-924A-7BE12A5D08AB}</author>
    <author>tc={27B05FCE-6D9E-48FA-919B-41BD90B6FE78}</author>
    <author>tc={E1260967-00F0-463A-B1FA-F35981452588}</author>
    <author>tc={2AED0CE2-1ED9-471E-8C96-C55EB88AE036}</author>
    <author>tc={464B26AC-1E49-4759-AD28-A8208DD44286}</author>
    <author>tc={2F138A53-716F-485B-B969-1CDA5E1F81E6}</author>
    <author>tc={E8898F80-6E65-468F-B782-98C48DBF2E7C}</author>
    <author>tc={B50CE1CA-B2A3-42D2-B4E9-5BF055CCC8B9}</author>
    <author>tc={F7EDFD3D-E86A-4021-AD59-152C831BC91A}</author>
    <author>tc={67B4318B-03E1-4F20-8289-9D0D0840A14B}</author>
    <author>tc={C2ABA76D-97D5-4267-B6E5-4E22A9E892A5}</author>
    <author>tc={A0C8C7A6-8953-41C2-97EB-980DD4A6CCB8}</author>
    <author>tc={B49B2752-D3A7-41D3-A75C-4BB0DDF12E4E}</author>
    <author>tc={B510406D-98CD-41A8-B259-85A94EE90F0D}</author>
    <author>tc={23C934A1-5C88-42B7-AFB8-AB90F5E354AD}</author>
    <author>tc={6CFE365B-6515-4432-ABB8-D4DDBE504878}</author>
  </authors>
  <commentList>
    <comment ref="E7" authorId="0" shapeId="0" xr:uid="{A84FC0B0-1E49-441A-9580-0CCC8EF18A06}">
      <text>
        <t>[Threaded comment]
Your version of Excel allows you to read this threaded comment; however, any edits to it will get removed if the file is opened in a newer version of Excel. Learn more: https://go.microsoft.com/fwlink/?linkid=870924
Comment:
    As per NASSCOM it is 151 Bn</t>
      </text>
    </comment>
    <comment ref="F7" authorId="1" shapeId="0" xr:uid="{ECECA233-5B45-4C02-A450-9E7DCAD6DB5F}">
      <text>
        <t>[Threaded comment]
Your version of Excel allows you to read this threaded comment; however, any edits to it will get removed if the file is opened in a newer version of Excel. Learn more: https://go.microsoft.com/fwlink/?linkid=870924
Comment:
    Assumed at 38% of Karnataka share (Source: RBI)</t>
      </text>
    </comment>
    <comment ref="H7" authorId="2" shapeId="0" xr:uid="{732F2FCB-B48F-47A4-8296-287D7A0D5A58}">
      <text>
        <t>[Threaded comment]
Your version of Excel allows you to read this threaded comment; however, any edits to it will get removed if the file is opened in a newer version of Excel. Learn more: https://go.microsoft.com/fwlink/?linkid=870924
Comment:
    Based on IBEF Projections
As per NASSCOM it is 45 Bn</t>
      </text>
    </comment>
    <comment ref="I7" authorId="3" shapeId="0" xr:uid="{2AB85AB3-E5C5-4C6F-80E6-286C759D6194}">
      <text>
        <t>[Threaded comment]
Your version of Excel allows you to read this threaded comment; however, any edits to it will get removed if the file is opened in a newer version of Excel. Learn more: https://go.microsoft.com/fwlink/?linkid=870924
Comment:
    Assumed at 30% of Karnataka share</t>
      </text>
    </comment>
    <comment ref="K7" authorId="4" shapeId="0" xr:uid="{67FE73FD-42D7-4D8C-99A2-390E4236730C}">
      <text>
        <t>[Threaded comment]
Your version of Excel allows you to read this threaded comment; however, any edits to it will get removed if the file is opened in a newer version of Excel. Learn more: https://go.microsoft.com/fwlink/?linkid=870924
Comment:
    As per ICEA estimates - MeitY presentation</t>
      </text>
    </comment>
    <comment ref="L7" authorId="5" shapeId="0" xr:uid="{62DE068F-57FC-4C4C-A576-2244CFE8FABC}">
      <text>
        <t>[Threaded comment]
Your version of Excel allows you to read this threaded comment; however, any edits to it will get removed if the file is opened in a newer version of Excel. Learn more: https://go.microsoft.com/fwlink/?linkid=870924
Comment:
    Assumed at 20% of Karnataka share (As per Invest Karnataka GoK, 40% of National share in electronic design, 10%
Contribution to the country’s electronic industrial output, 50%
National share in Electronic product companies)
https://investkarnataka.co.in/sectors/electronic-system-design-manufacturing/</t>
      </text>
    </comment>
    <comment ref="N7" authorId="6" shapeId="0" xr:uid="{8CA8D4A4-A763-41C2-B0CC-FCDC2F79A4DB}">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t>
      </text>
    </comment>
    <comment ref="O7" authorId="7" shapeId="0" xr:uid="{0A780DD6-5CD0-4796-B70F-7E69CF44F97B}">
      <text>
        <t>[Threaded comment]
Your version of Excel allows you to read this threaded comment; however, any edits to it will get removed if the file is opened in a newer version of Excel. Learn more: https://go.microsoft.com/fwlink/?linkid=870924
Comment:
    Assumed at 40% of Karnataka share</t>
      </text>
    </comment>
    <comment ref="Q10" authorId="8" shapeId="0" xr:uid="{52DBD54A-7C87-4DDD-B9F3-4E1A57CA19A0}">
      <text>
        <t>[Threaded comment]
Your version of Excel allows you to read this threaded comment; however, any edits to it will get removed if the file is opened in a newer version of Excel. Learn more: https://go.microsoft.com/fwlink/?linkid=870924
Comment:
    Assumptions for the sub sectors based on McKinsey Global Institute Digital India Report for India level (Page 110 of MeitY Report) and                                      and the assumptions based on the BCG estimation for Karnataka based on 19 themes as prepared by BCG (Followed MeitY report for reference)</t>
      </text>
    </comment>
    <comment ref="R10" authorId="9" shapeId="0" xr:uid="{2E25BBF8-D883-4F45-8614-FD0442DAE93D}">
      <text>
        <t>[Threaded comment]
Your version of Excel allows you to read this threaded comment; however, any edits to it will get removed if the file is opened in a newer version of Excel. Learn more: https://go.microsoft.com/fwlink/?linkid=870924
Comment:
    Matched as per BCG estimation done for Karnataka</t>
      </text>
    </comment>
    <comment ref="E11" authorId="10" shapeId="0" xr:uid="{4E7CDE5C-7CA8-4B48-9A05-20D4C1E80605}">
      <text>
        <t>[Threaded comment]
Your version of Excel allows you to read this threaded comment; however, any edits to it will get removed if the file is opened in a newer version of Excel. Learn more: https://go.microsoft.com/fwlink/?linkid=870924
Comment:
    Based on NASSCOM projections - https://nasscom.in/knowledge-center/publications/technology-sector-india-2022-strategic-review</t>
      </text>
    </comment>
    <comment ref="F11" authorId="11" shapeId="0" xr:uid="{D0B23B17-25B0-4A4D-857C-F4CC8987CB28}">
      <text>
        <t>[Threaded comment]
Your version of Excel allows you to read this threaded comment; however, any edits to it will get removed if the file is opened in a newer version of Excel. Learn more: https://go.microsoft.com/fwlink/?linkid=870924
Comment:
    Software &amp; Service Exports - RBI estimation and also additionally As per Indian Express article, Indian software exports in the current financial year are estimated to be worth $170 billion USD with Karnataka contributing an estimated 38 per cent</t>
      </text>
    </comment>
    <comment ref="H11" authorId="12" shapeId="0" xr:uid="{4B62BAA6-0510-4218-B41C-03EA622EB958}">
      <text>
        <t>[Threaded comment]
Your version of Excel allows you to read this threaded comment; however, any edits to it will get removed if the file is opened in a newer version of Excel. Learn more: https://go.microsoft.com/fwlink/?linkid=870924
Comment:
    Assuming $ 227 Bn of Total Revenue during the year 22, IT Domestic would be total minus the IT Exports which would arrive at ~57 Bn (We have considered at $ 57 Bn)                               Additionally  Referred IBEF report and Business standard article)</t>
      </text>
    </comment>
    <comment ref="K11" authorId="13" shapeId="0" xr:uid="{E69462E9-6641-4213-BF29-9C7ECB4AA215}">
      <text>
        <t>[Threaded comment]
Your version of Excel allows you to read this threaded comment; however, any edits to it will get removed if the file is opened in a newer version of Excel. Learn more: https://go.microsoft.com/fwlink/?linkid=870924
Comment:
    As per ICEA estimates</t>
      </text>
    </comment>
    <comment ref="N11" authorId="14" shapeId="0" xr:uid="{8CD1DD19-667E-46B2-9AC9-82E1040FD8EA}">
      <text>
        <t>[Threaded comment]
Your version of Excel allows you to read this threaded comment; however, any edits to it will get removed if the file is opened in a newer version of Excel. Learn more: https://go.microsoft.com/fwlink/?linkid=870924
Comment:
    As per Inc 42 report on financial performance of startups considering ~$ 7.2 Bn in FY 20. Based on Mr. Pai's guidance, we have considered it at ~10 Bn (Assuming 51% growth over FY 20 (As for FY 19 to FY 20 at 51% growth in overall revenue)</t>
      </text>
    </comment>
    <comment ref="O11" authorId="15" shapeId="0" xr:uid="{D2191305-9EB6-40A9-82EB-1F4EB297D91B}">
      <text>
        <t xml:space="preserve">[Threaded comment]
Your version of Excel allows you to read this threaded comment; however, any edits to it will get removed if the file is opened in a newer version of Excel. Learn more: https://go.microsoft.com/fwlink/?linkid=870924
Comment:
    Bengaluru, being one of India’s largest cities contributing to ~40% of Unicorns </t>
      </text>
    </comment>
    <comment ref="R11" authorId="16" shapeId="0" xr:uid="{273659D3-1C61-4565-924A-7BE12A5D08AB}">
      <text>
        <t>[Threaded comment]
Your version of Excel allows you to read this threaded comment; however, any edits to it will get removed if the file is opened in a newer version of Excel. Learn more: https://go.microsoft.com/fwlink/?linkid=870924
Comment:
    Karnataka would reach ~35 Bn by the year 2025-26</t>
      </text>
    </comment>
    <comment ref="E17" authorId="17" shapeId="0" xr:uid="{27B05FCE-6D9E-48FA-919B-41BD90B6FE78}">
      <text>
        <t>[Threaded comment]
Your version of Excel allows you to read this threaded comment; however, any edits to it will get removed if the file is opened in a newer version of Excel. Learn more: https://go.microsoft.com/fwlink/?linkid=870924
Comment:
    Total Export plus domestic is 4.47 Mn</t>
      </text>
    </comment>
    <comment ref="E18" authorId="18" shapeId="0" xr:uid="{E1260967-00F0-463A-B1FA-F35981452588}">
      <text>
        <t>[Threaded comment]
Your version of Excel allows you to read this threaded comment; however, any edits to it will get removed if the file is opened in a newer version of Excel. Learn more: https://go.microsoft.com/fwlink/?linkid=870924
Comment:
    NASSCOM projections
https://www.meity.gov.in/content/employment  and additional Statista Reference - https://www.statista.com/statistics/320729/india-it-industry-direct-indirect-employment/</t>
      </text>
    </comment>
    <comment ref="F18" authorId="19" shapeId="0" xr:uid="{2AED0CE2-1ED9-471E-8C96-C55EB88AE036}">
      <text>
        <t>[Threaded comment]
Your version of Excel allows you to read this threaded comment; however, any edits to it will get removed if the file is opened in a newer version of Excel. Learn more: https://go.microsoft.com/fwlink/?linkid=870924
Comment:
    Considering total 196 Bn (151 Bn IT exports and 45 Bn IT domestic), the share of domestic in total is 22.9% (We have considered round figure of 22%)</t>
      </text>
    </comment>
    <comment ref="H18" authorId="20" shapeId="0" xr:uid="{464B26AC-1E49-4759-AD28-A8208DD44286}">
      <text>
        <t>[Threaded comment]
Your version of Excel allows you to read this threaded comment; however, any edits to it will get removed if the file is opened in a newer version of Excel. Learn more: https://go.microsoft.com/fwlink/?linkid=870924
Comment:
    Considering total 196 Bn (151 Bn IT exports and 45 Bn IT domestic), the share of domestic in total is 22.9% (We have considered round figure of 22%)</t>
      </text>
    </comment>
    <comment ref="N18" authorId="21" shapeId="0" xr:uid="{2F138A53-716F-485B-B969-1CDA5E1F81E6}">
      <text>
        <t>[Threaded comment]
Your version of Excel allows you to read this threaded comment; however, any edits to it will get removed if the file is opened in a newer version of Excel. Learn more: https://go.microsoft.com/fwlink/?linkid=870924
Comment:
    Based on BV Sir suggestion, we have changed it to Assuming ~53000 startups in India employing about ~20 people per startup, we arrive at 10,60,000 employees</t>
      </text>
    </comment>
    <comment ref="E22" authorId="22" shapeId="0" xr:uid="{E8898F80-6E65-468F-B782-98C48DBF2E7C}">
      <text>
        <t>[Threaded comment]
Your version of Excel allows you to read this threaded comment; however, any edits to it will get removed if the file is opened in a newer version of Excel. Learn more: https://go.microsoft.com/fwlink/?linkid=870924
Comment:
    Total is 4.5 Mn, out of which 0.99 is for domestic, balance of 3.51 Mn is for IT exports</t>
      </text>
    </comment>
    <comment ref="E23" authorId="23" shapeId="0" xr:uid="{B50CE1CA-B2A3-42D2-B4E9-5BF055CCC8B9}">
      <text>
        <t>[Threaded comment]
Your version of Excel allows you to read this threaded comment; however, any edits to it will get removed if the file is opened in a newer version of Excel. Learn more: https://go.microsoft.com/fwlink/?linkid=870924
Comment:
    NASSCOM Reference:
https://nasscom.in/sites/default/files/media_pdf/NASSCOM-Statement-Job-creation-and-Hiring-in-Indian-IT-BPM-industry.pdf
Statista Reference - https://www.statista.com/statistics/320729/india-it-industry-direct-indirect-employment/
Additionally, https://trak.in/tags/business/2022/02/17/indian-it-sector-now-has-50-lakh-employees-becomes-1-employer-in-india/</t>
      </text>
    </comment>
    <comment ref="F23" authorId="24" shapeId="0" xr:uid="{F7EDFD3D-E86A-4021-AD59-152C831BC91A}">
      <text>
        <t>[Threaded comment]
Your version of Excel allows you to read this threaded comment; however, any edits to it will get removed if the file is opened in a newer version of Excel. Learn more: https://go.microsoft.com/fwlink/?linkid=870924
Comment:
    Based on 38% assumption</t>
      </text>
    </comment>
    <comment ref="H23" authorId="25" shapeId="0" xr:uid="{67B4318B-03E1-4F20-8289-9D0D0840A14B}">
      <text>
        <t>[Threaded comment]
Your version of Excel allows you to read this threaded comment; however, any edits to it will get removed if the file is opened in a newer version of Excel. Learn more: https://go.microsoft.com/fwlink/?linkid=870924
Comment:
    Considering total 227 Bn (178 Bn IT exports and 49 Bn IT domestic), the share of domestic in total is 21.5% (We have considered round figure of 22%)</t>
      </text>
    </comment>
    <comment ref="I23" authorId="26" shapeId="0" xr:uid="{C2ABA76D-97D5-4267-B6E5-4E22A9E892A5}">
      <text>
        <t>[Threaded comment]
Your version of Excel allows you to read this threaded comment; however, any edits to it will get removed if the file is opened in a newer version of Excel. Learn more: https://go.microsoft.com/fwlink/?linkid=870924
Comment:
    Based on 30% for Karnataka share</t>
      </text>
    </comment>
    <comment ref="K23" authorId="27" shapeId="0" xr:uid="{A0C8C7A6-8953-41C2-97EB-980DD4A6CCB8}">
      <text>
        <t>[Threaded comment]
Your version of Excel allows you to read this threaded comment; however, any edits to it will get removed if the file is opened in a newer version of Excel. Learn more: https://go.microsoft.com/fwlink/?linkid=870924
Comment:
    Assuming 7.5 Bn USD employable talent (As Salaries payable), converting it at Rs.79 per USD, we arrive at INR 599,266,618,485 (~59,932 Crores). Assuming a CTC of Rs.8,00,000 per person working in the field of ESDM, we have around 12 people working per crore. Multiplying 59,932 Crores *12, we arrive at 7,19,190 or 0.7 Mn for India level employability</t>
      </text>
    </comment>
    <comment ref="N23" authorId="28" shapeId="0" xr:uid="{B49B2752-D3A7-41D3-A75C-4BB0DDF12E4E}">
      <text>
        <t xml:space="preserve">[Threaded comment]
Your version of Excel allows you to read this threaded comment; however, any edits to it will get removed if the file is opened in a newer version of Excel. Learn more: https://go.microsoft.com/fwlink/?linkid=870924
Comment:
    Assumption based on Inc 42 India startup ecosystem report and additionally Based on BV Sir suggestion, we have changed it to Assuming ~57000 startups in India employing about ~20 people per startup, we arrive at 10,60,000 </t>
      </text>
    </comment>
    <comment ref="O23" authorId="29" shapeId="0" xr:uid="{B510406D-98CD-41A8-B259-85A94EE90F0D}">
      <text>
        <t>[Threaded comment]
Your version of Excel allows you to read this threaded comment; however, any edits to it will get removed if the file is opened in a newer version of Excel. Learn more: https://go.microsoft.com/fwlink/?linkid=870924
Comment:
    Assumed at 40% for Karnataka share</t>
      </text>
    </comment>
    <comment ref="H24" authorId="30" shapeId="0" xr:uid="{23C934A1-5C88-42B7-AFB8-AB90F5E354AD}">
      <text>
        <t>[Threaded comment]
Your version of Excel allows you to read this threaded comment; however, any edits to it will get removed if the file is opened in a newer version of Excel. Learn more: https://go.microsoft.com/fwlink/?linkid=870924
Comment:
    Can we consider a combination of both IT Exports and IT domestic as a total for 4.5 Mn</t>
      </text>
    </comment>
    <comment ref="K24" authorId="31" shapeId="0" xr:uid="{6CFE365B-6515-4432-ABB8-D4DDBE504878}">
      <text>
        <t>[Threaded comment]
Your version of Excel allows you to read this threaded comment; however, any edits to it will get removed if the file is opened in a newer version of Excel. Learn more: https://go.microsoft.com/fwlink/?linkid=870924
Comment:
    Currently employs approximately 13 Mn direct and indirect jobs https://www.investindia.gov.in/siru/electronic-systems-design-and-manufacturing-india-120-bn-market-opportunity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tc={3A911AFD-58CB-40AE-A230-7093A4B04C42}</author>
    <author>tc={F0B04B73-8470-4624-AB87-5A8080C17F2A}</author>
    <author>tc={274FF4E5-F7BC-48EE-B5D6-393C3866938A}</author>
  </authors>
  <commentList>
    <comment ref="C4" authorId="0" shapeId="0" xr:uid="{3A911AFD-58CB-40AE-A230-7093A4B04C42}">
      <text>
        <t>[Threaded comment]
Your version of Excel allows you to read this threaded comment; however, any edits to it will get removed if the file is opened in a newer version of Excel. Learn more: https://go.microsoft.com/fwlink/?linkid=870924
Comment:
    As per Mckinsey Report Page 9) and same link https://www.mckinsey.com/~/media/mckinsey/business%20functions/mckinsey%20digital/our%20insights/digital%20india%20technology%20to%20transform%20a%20connected%20nation/mgi-digital-india-in-brief-april-2019.pdf</t>
      </text>
    </comment>
    <comment ref="F4" authorId="1" shapeId="0" xr:uid="{F0B04B73-8470-4624-AB87-5A8080C17F2A}">
      <text>
        <t>[Threaded comment]
Your version of Excel allows you to read this threaded comment; however, any edits to it will get removed if the file is opened in a newer version of Excel. Learn more: https://go.microsoft.com/fwlink/?linkid=870924
Comment:
    As per KDEM estimation, we have arrived at ~403 Bn</t>
      </text>
    </comment>
    <comment ref="J4" authorId="2" shapeId="0" xr:uid="{274FF4E5-F7BC-48EE-B5D6-393C3866938A}">
      <text>
        <t>[Threaded comment]
Your version of Excel allows you to read this threaded comment; however, any edits to it will get removed if the file is opened in a newer version of Excel. Learn more: https://go.microsoft.com/fwlink/?linkid=870924
Comment:
    435 Bn by 2025 as per Mckinsey report</t>
      </text>
    </comment>
  </commentList>
</comments>
</file>

<file path=xl/sharedStrings.xml><?xml version="1.0" encoding="utf-8"?>
<sst xmlns="http://schemas.openxmlformats.org/spreadsheetml/2006/main" count="70" uniqueCount="20">
  <si>
    <t>2020-21</t>
  </si>
  <si>
    <t>Source</t>
  </si>
  <si>
    <t>2021-22</t>
  </si>
  <si>
    <t>IT Exports</t>
  </si>
  <si>
    <t>IT Domestic</t>
  </si>
  <si>
    <t>ESDM</t>
  </si>
  <si>
    <t>Startups</t>
  </si>
  <si>
    <t>Other emerging sub sectors</t>
  </si>
  <si>
    <t>India</t>
  </si>
  <si>
    <t>Karnataka</t>
  </si>
  <si>
    <t>Assumption</t>
  </si>
  <si>
    <t>Digital Economy Revenue numbers (In USD Bn)</t>
  </si>
  <si>
    <t>Digital Economy Employment numbers (In Millions)</t>
  </si>
  <si>
    <t>Working as per Mckinsey Report for India Digital Economy</t>
  </si>
  <si>
    <t>Value of India Digital Economy (In USD Bn)</t>
  </si>
  <si>
    <t>** Assuming 17% CAGR, we arrive at 435 Bn by the year 2025</t>
  </si>
  <si>
    <t>For the year 2025-26, Karnataka projection for IT is matching at 130 Bn</t>
  </si>
  <si>
    <t>Additional Source</t>
  </si>
  <si>
    <t>133.7/208.5</t>
  </si>
  <si>
    <t>50.80/79.23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</si>
</sst>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2"/>
        <bgColor indexed="64"/>
      </patternFill>
    </fill>
    <fill>
      <patternFill patternType="solid">
        <fgColor theme="9"/>
        <bgColor indexed="64"/>
      </patternFill>
    </fill>
    <fill>
      <patternFill patternType="solid">
        <fgColor theme="5" tint="0.39997558519241921"/>
        <bgColor indexed="64"/>
      </patternFill>
    </fill>
    <fill>
      <patternFill patternType="solid">
        <fgColor rgb="FFFF0000"/>
        <bgColor indexed="64"/>
      </patternFill>
    </fill>
    <fill>
      <patternFill patternType="solid">
        <fgColor theme="7"/>
        <bgColor indexed="64"/>
      </patternFill>
    </fill>
  </fills>
  <borders count="6">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s>
  <cellStyleXfs count="1">
    <xf numFmtId="0" fontId="0" fillId="0" borderId="0"/>
  </cellStyleXfs>
  <cellXfs count="40">
    <xf numFmtId="0" fontId="0" fillId="0" borderId="0" xfId="0"/>
    <xf numFmtId="0" fontId="0" fillId="0" borderId="0" xfId="0" applyAlignment="1">
      <alignment horizontal="center"/>
    </xf>
    <xf numFmtId="0" fontId="1" fillId="0" borderId="0" xfId="0" applyFont="1" applyAlignment="1">
      <alignment horizontal="center"/>
    </xf>
    <xf numFmtId="0" fontId="3" fillId="0" borderId="0" xfId="0" applyFont="1" applyAlignment="1">
      <alignment horizontal="center"/>
    </xf>
    <xf numFmtId="10" fontId="0" fillId="0" borderId="0" xfId="0" applyNumberFormat="1"/>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2" borderId="1" xfId="0" applyFont="1" applyFill="1" applyBorder="1" applyAlignment="1">
      <alignment horizontal="center"/>
    </xf>
    <xf numFmtId="0" fontId="2" fillId="0" borderId="1" xfId="0" applyFont="1" applyBorder="1" applyAlignment="1">
      <alignment horizontal="center"/>
    </xf>
    <xf numFmtId="0" fontId="0" fillId="0" borderId="1" xfId="0" applyBorder="1"/>
    <xf numFmtId="0" fontId="1" fillId="0" borderId="1" xfId="0" applyFont="1" applyBorder="1" applyAlignment="1">
      <alignment horizontal="center"/>
    </xf>
    <xf numFmtId="0" fontId="3" fillId="3" borderId="1" xfId="0" applyFont="1" applyFill="1" applyBorder="1" applyAlignment="1">
      <alignment horizontal="center"/>
    </xf>
    <xf numFmtId="0" fontId="0" fillId="0" borderId="0" xfId="0" applyFont="1" applyAlignment="1">
      <alignment horizontal="center"/>
    </xf>
    <xf numFmtId="1" fontId="1" fillId="0" borderId="0" xfId="0" applyNumberFormat="1" applyFont="1" applyAlignment="1">
      <alignment horizontal="center"/>
    </xf>
    <xf numFmtId="1" fontId="1" fillId="2" borderId="0" xfId="0" applyNumberFormat="1" applyFont="1" applyFill="1" applyAlignment="1">
      <alignment horizontal="center"/>
    </xf>
    <xf numFmtId="0" fontId="0" fillId="6" borderId="1" xfId="0" applyFill="1" applyBorder="1"/>
    <xf numFmtId="0" fontId="3" fillId="0" borderId="0" xfId="0" applyFont="1" applyBorder="1" applyAlignment="1">
      <alignment horizontal="center" vertical="center" wrapText="1"/>
    </xf>
    <xf numFmtId="0" fontId="2" fillId="0" borderId="0" xfId="0" applyFont="1" applyBorder="1" applyAlignment="1">
      <alignment horizontal="center"/>
    </xf>
    <xf numFmtId="0" fontId="0" fillId="0" borderId="0" xfId="0" applyBorder="1"/>
    <xf numFmtId="0" fontId="1" fillId="0" borderId="0" xfId="0" applyFont="1"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center"/>
    </xf>
    <xf numFmtId="0" fontId="0" fillId="8" borderId="1" xfId="0" applyFill="1" applyBorder="1"/>
    <xf numFmtId="0" fontId="0" fillId="0" borderId="1" xfId="0" applyFill="1" applyBorder="1"/>
    <xf numFmtId="2" fontId="0" fillId="0" borderId="1" xfId="0" applyNumberFormat="1" applyBorder="1"/>
    <xf numFmtId="0" fontId="3" fillId="9" borderId="1" xfId="0" applyFont="1" applyFill="1" applyBorder="1" applyAlignment="1">
      <alignment horizontal="center"/>
    </xf>
    <xf numFmtId="0" fontId="0" fillId="9" borderId="1" xfId="0" applyFill="1" applyBorder="1"/>
    <xf numFmtId="0" fontId="0" fillId="9" borderId="0" xfId="0" applyFill="1" applyBorder="1"/>
    <xf numFmtId="0" fontId="0" fillId="9" borderId="0" xfId="0" applyFill="1"/>
    <xf numFmtId="2" fontId="0" fillId="9" borderId="1" xfId="0" applyNumberFormat="1" applyFill="1" applyBorder="1"/>
    <xf numFmtId="0" fontId="0" fillId="7" borderId="5" xfId="0" applyFill="1" applyBorder="1" applyAlignment="1">
      <alignment horizontal="center"/>
    </xf>
    <xf numFmtId="0" fontId="1" fillId="0" borderId="0" xfId="0" applyFont="1" applyAlignment="1">
      <alignment horizontal="center"/>
    </xf>
    <xf numFmtId="0" fontId="3" fillId="5" borderId="1" xfId="0" applyFont="1" applyFill="1"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ikhil  Nandish (KDEM)" id="{7AE74C92-01DD-4F4D-AA4D-9236B7C8DF17}" userId="S::ra1@karnatakadigital.in::bf9659d1-7b4d-4e43-ba63-a25ae2a68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dT="2022-11-10T11:30:45.39" personId="{7AE74C92-01DD-4F4D-AA4D-9236B7C8DF17}" id="{8CD94B12-FD8B-4C71-B592-C03A0FB38C28}">
    <text>Based on IBEF Projections
As per NASSCOM it is 151 Bn</text>
  </threadedComment>
  <threadedComment ref="F7" dT="2022-11-10T12:27:06.38" personId="{7AE74C92-01DD-4F4D-AA4D-9236B7C8DF17}" id="{EDE4DAF1-FCEA-4BB0-9B11-D50BCE02C85C}">
    <text>Assumed at 38% of Karnataka share (Source: RBI)</text>
  </threadedComment>
  <threadedComment ref="H7" dT="2022-11-10T11:31:02.31" personId="{7AE74C92-01DD-4F4D-AA4D-9236B7C8DF17}" id="{C6897CAC-7A62-4BE5-BE90-12ED54EF0408}">
    <text>Based on IBEF Projections
As per NASSCOM it is 45 Bn</text>
  </threadedComment>
  <threadedComment ref="I7" dT="2022-11-10T12:27:31.19" personId="{7AE74C92-01DD-4F4D-AA4D-9236B7C8DF17}" id="{DE2679AE-7DD2-46C1-9602-C949F115B7C8}">
    <text>Assumed at 30% of Karnataka share</text>
  </threadedComment>
  <threadedComment ref="K7" dT="2022-11-10T11:31:59.43" personId="{7AE74C92-01DD-4F4D-AA4D-9236B7C8DF17}" id="{118B4F99-CEE8-48E6-8829-E9980E82DE1B}">
    <text>As per ICEA estimates - MeitY presentation</text>
  </threadedComment>
  <threadedComment ref="L7" dT="2022-11-10T12:28:52.35" personId="{7AE74C92-01DD-4F4D-AA4D-9236B7C8DF17}" id="{7DDE4776-4622-41E2-B714-BEAC5082EB66}">
    <text>Assumed at 20% of Karnataka share (As per Invest Karnataka GoK, 40% of National share in electronic design, 10%
Contribution to the country’s electronic industrial output, 50%
National share in Electronic product companies)
https://investkarnataka.co.in/sectors/electronic-system-design-manufacturing/</text>
  </threadedComment>
  <threadedComment ref="N7" dT="2022-11-10T11:19:34.20" personId="{7AE74C92-01DD-4F4D-AA4D-9236B7C8DF17}" id="{77E0195E-DBC3-4443-9A6B-E59DECF51B88}">
    <text>As per Inc 42 report on financial performance of startups considering ~$ 7.2 Bn in FY 20</text>
  </threadedComment>
  <threadedComment ref="O7" dT="2022-11-10T12:29:10.41" personId="{7AE74C92-01DD-4F4D-AA4D-9236B7C8DF17}" id="{A77B8E6D-C1D7-4F4E-87E7-DDE6CF42682C}">
    <text>Assumed at 40% of Karnataka share</text>
  </threadedComment>
  <threadedComment ref="E8" dT="2022-11-12T12:22:05.61" personId="{7AE74C92-01DD-4F4D-AA4D-9236B7C8DF17}" id="{472CFC4F-7F46-4A1C-8DDD-036E4168BF7E}">
    <text>https://www.rbi.org.in/scripts/BS_PressReleaseDisplay.aspx?prid=52258
RBI Report for 5 years</text>
  </threadedComment>
  <threadedComment ref="H8" dT="2022-11-12T13:00:34.79" personId="{7AE74C92-01DD-4F4D-AA4D-9236B7C8DF17}" id="{D863F539-5DD8-4F9C-A6DF-336386361272}">
    <text>https://www.statista.com/statistics/533578/india-it-industry-export-domestic-market-size/</text>
  </threadedComment>
  <threadedComment ref="I8" dT="2022-11-12T13:08:19.47" personId="{7AE74C92-01DD-4F4D-AA4D-9236B7C8DF17}" id="{5BAF665A-5CAC-445D-8046-7BD62A2BB899}">
    <text>Assumed at 30% of Karnataka share</text>
  </threadedComment>
  <threadedComment ref="Q10" dT="2022-11-10T11:52:39.69" personId="{7AE74C92-01DD-4F4D-AA4D-9236B7C8DF17}" id="{0DD285DC-F0E4-408B-8CAC-63D5FE4F3783}">
    <text>Assumptions for the sub sectors based on McKinsey Global Institute Digital India Report for India level (Page 110 of MeitY Report) and                                      and the assumptions based on the BCG estimation for Karnataka based on 19 themes as prepared by BCG (Followed MeitY report for reference)</text>
  </threadedComment>
  <threadedComment ref="R10" dT="2022-11-10T12:01:09.80" personId="{7AE74C92-01DD-4F4D-AA4D-9236B7C8DF17}" id="{C5B8EFB1-FE5C-4DCB-9135-6B2B37422A8B}">
    <text>Matched as per BCG estimation done for Karnataka</text>
  </threadedComment>
  <threadedComment ref="E11" dT="2022-11-10T11:11:48.37" personId="{7AE74C92-01DD-4F4D-AA4D-9236B7C8DF17}" id="{E3C8FE3B-3321-4594-A293-D82CBB0F5DE3}">
    <text>Based on NASSCOM projections - https://nasscom.in/knowledge-center/publications/technology-sector-india-2022-strategic-review
Additionally 170 Bn mentioned in Inc 42 startup ecosystem report 22</text>
  </threadedComment>
  <threadedComment ref="F11" dT="2022-11-10T11:12:21.36" personId="{7AE74C92-01DD-4F4D-AA4D-9236B7C8DF17}" id="{774ED4B6-3FD3-4502-914E-7F0ECDF0D638}">
    <text>Software &amp; Service Exports - RBI estimation and also additionally As per Indian Express article, Indian software exports in the current financial year are estimated to be worth $170 billion USD with Karnataka contributing an estimated 38 per cent</text>
  </threadedComment>
  <threadedComment ref="H11" dT="2022-11-10T11:15:26.56" personId="{7AE74C92-01DD-4F4D-AA4D-9236B7C8DF17}" id="{ABF87400-BF4F-4F09-938C-280169246C64}">
    <text>Assuming $ 227 Bn of Total Revenue during the year 22, IT Domestic would be total minus the IT Exports which would arrive at ~57 Bn (We have considered at $ 57 Bn)                               Additionally  Referred IBEF report and Business standard article)</text>
  </threadedComment>
  <threadedComment ref="K11" dT="2022-11-10T11:16:28.93" personId="{7AE74C92-01DD-4F4D-AA4D-9236B7C8DF17}" id="{092F69A8-0F4C-4097-AC78-032C0142008B}">
    <text>As per ICEA estimates</text>
  </threadedComment>
  <threadedComment ref="N11" dT="2022-11-10T11:20:19.18" personId="{7AE74C92-01DD-4F4D-AA4D-9236B7C8DF17}" id="{EAFA67DE-3110-49BB-B404-85D1BA1F903B}">
    <text>As per Inc 42 report on financial performance of startups considering ~$ 7.2 Bn in FY 20. Based on Mr. Pai's guidance, we have considered it at ~10 Bn (Assuming 51% growth over FY 20 (As for FY 19 to FY 20 at 51% growth in overall revenue)</text>
  </threadedComment>
  <threadedComment ref="O11" dT="2022-11-13T09:08:28.86" personId="{7AE74C92-01DD-4F4D-AA4D-9236B7C8DF17}" id="{6CEA81E3-C44D-4DCA-A948-834A6E222CFC}">
    <text xml:space="preserve">Bengaluru, being one of India’s largest cities contributing to ~40% of Unicorns </text>
  </threadedComment>
  <threadedComment ref="R11" dT="2022-11-21T10:11:36.94" personId="{7AE74C92-01DD-4F4D-AA4D-9236B7C8DF17}" id="{90EA9AFB-C063-41E5-A780-CE96E8B8935E}">
    <text>Karnataka would reach ~35 Bn by the year 2025-26</text>
  </threadedComment>
  <threadedComment ref="E12" dT="2022-11-12T12:30:28.38" personId="{7AE74C92-01DD-4F4D-AA4D-9236B7C8DF17}" id="{B3701A35-C774-44BB-B48A-8303A0164F46}">
    <text>https://www.rbi.org.in/scripts/BS_PressReleaseDisplay.aspx?prid=54338#:~:text=India%27s%20exports%20of%20software%20services%20(excluding%20exports%20through%20commercial%20presence,of%20total%20software%20services%20exports.</text>
  </threadedComment>
  <threadedComment ref="H12" dT="2022-11-13T08:25:09.96" personId="{7AE74C92-01DD-4F4D-AA4D-9236B7C8DF17}" id="{1C87A91E-4EA3-46C7-BF6D-326FC007E734}">
    <text>https://www.statista.com/statistics/533578/india-it-industry-export-domestic-market-size/</text>
  </threadedComment>
  <threadedComment ref="I12" dT="2022-11-13T08:26:11.62" personId="{7AE74C92-01DD-4F4D-AA4D-9236B7C8DF17}" id="{415D87C4-DD9C-41CB-BBCE-ED1AA654B07A}">
    <text>Assumed at 30% of Karnataka share</text>
  </threadedComment>
  <threadedComment ref="K12" dT="2022-11-13T08:28:35.72" personId="{7AE74C92-01DD-4F4D-AA4D-9236B7C8DF17}" id="{28A4C027-C1B8-49F5-B3FD-B12E87E13D4B}">
    <text>1. Projected to reach an economic value of 400 Bn by the eyar 2025 as per Cabinet approval proposal of National Policy of electronics 2019 https://pib.gov.in/PressReleaseIframePage.aspx?PRID=15652852. It is estimated that India would generate ~100-130 Bn economic opportunity by the year 2025
https://www.investindia.gov.in/siru/electronic-systems-design-and-manufacturing-india-120-bn-market-opportunity</text>
  </threadedComment>
  <threadedComment ref="E18" dT="2022-11-10T12:08:04.04" personId="{7AE74C92-01DD-4F4D-AA4D-9236B7C8DF17}" id="{43D9EE46-FAB0-4721-91B8-87C2E7399D0D}">
    <text>https://www.meity.gov.in/content/employment  and additional Statista Reference - https://www.statista.com/statistics/320729/india-it-industry-direct-indirect-employment/</text>
  </threadedComment>
  <threadedComment ref="N18" dT="2022-11-13T10:32:18.39" personId="{7AE74C92-01DD-4F4D-AA4D-9236B7C8DF17}" id="{C471EE1C-28B6-4D35-8C8C-F2B1E8E98474}">
    <text>Based on BV Sir suggestion, we have changed it to Assuming ~53000 startups in India employing about ~20 people per startup, we arrive at 10,60,000 employees</text>
  </threadedComment>
  <threadedComment ref="E19" dT="2022-11-13T10:21:30.45" personId="{7AE74C92-01DD-4F4D-AA4D-9236B7C8DF17}" id="{41F80E2E-B0CB-46B5-9596-C3CD7C218984}">
    <text>https://www.timesnownews.com/business-economy/industry/indias-it-sector-directly-employed-51-lakh-in-fy22-article-93328748
Additionally, Page 9 of IBEF Report</text>
  </threadedComment>
  <threadedComment ref="E23" dT="2022-11-10T12:15:39.62" personId="{7AE74C92-01DD-4F4D-AA4D-9236B7C8DF17}" id="{9F9AF9C3-9390-4ADA-A919-EF41E04EF557}">
    <text>Statista Reference - https://www.statista.com/statistics/320729/india-it-industry-direct-indirect-employment/
Additionally, https://trak.in/tags/business/2022/02/17/indian-it-sector-now-has-50-lakh-employees-becomes-1-employer-in-india/</text>
  </threadedComment>
  <threadedComment ref="F23" dT="2022-11-10T12:16:07.22" personId="{7AE74C92-01DD-4F4D-AA4D-9236B7C8DF17}" id="{C7BD78AB-B4C5-41DB-8815-9E1ADB94FD2D}">
    <text>Based on 38% assumption</text>
  </threadedComment>
  <threadedComment ref="H23" dT="2022-11-13T10:13:35.13" personId="{7AE74C92-01DD-4F4D-AA4D-9236B7C8DF17}" id="{0DDE0DA8-22E6-4EE7-9D22-848B1C59D107}">
    <text>Considering 20% of exports value of 45,00,000</text>
  </threadedComment>
  <threadedComment ref="I23" dT="2022-11-10T12:17:01.97" personId="{7AE74C92-01DD-4F4D-AA4D-9236B7C8DF17}" id="{67690B1D-4F7D-4DF0-97E1-7FA38815CB5D}">
    <text>Based on 30% for Karnataka share</text>
  </threadedComment>
  <threadedComment ref="K23" dT="2022-11-10T12:18:02.37" personId="{7AE74C92-01DD-4F4D-AA4D-9236B7C8DF17}" id="{32D29FF8-C2C1-43E1-B42D-1C41B16992C5}">
    <text>Assuming 7.5 Bn USD employable talent (As Salaries payable), converting it at Rs.79 per USD, we arrive at INR 599,266,618,485 (~59,932 Crores). Assuming a CTC of Rs.8,00,000 per person working in the field of ESDM, we have around 12 people working per crore. Multiplying 59,932 Crores *12, we arrive at 7,19,190 or 0.7 Mn for India level employability</text>
  </threadedComment>
  <threadedComment ref="N23" dT="2022-11-10T12:22:26.09" personId="{7AE74C92-01DD-4F4D-AA4D-9236B7C8DF17}" id="{E6B3F4CE-42D8-4803-851F-445736E9DF5B}">
    <text>Assumption based on Inc 42 India startup ecosystem report and additionally Based on BV Sir suggestion, we have changed it to Assuming ~57000 startups in India employing about ~20 people per startup, we arrive at 10,60,000 employees, earlier we had considered at 15,00,000 employees</text>
  </threadedComment>
  <threadedComment ref="O23" dT="2022-11-10T12:24:06.88" personId="{7AE74C92-01DD-4F4D-AA4D-9236B7C8DF17}" id="{831916A9-0348-481D-8959-D0F3D18A554F}">
    <text>Assumed at 40% for Karnataka share</text>
  </threadedComment>
  <threadedComment ref="E24" dT="2022-11-13T10:22:06.53" personId="{7AE74C92-01DD-4F4D-AA4D-9236B7C8DF17}" id="{32ED23B4-6BF5-42E3-8612-3B99DE62B700}">
    <text>https://www.timesnownews.com/business-economy/industry/indias-it-sector-directly-employed-51-lakh-in-fy22-article-93328748
Additionally, Page 9 of IBEF Report
Additionally 5 Mn employment as per Inc 42 Indian startup ecosystem report</text>
  </threadedComment>
  <threadedComment ref="H24" dT="2022-11-13T10:23:18.68" personId="{7AE74C92-01DD-4F4D-AA4D-9236B7C8DF17}" id="{D495B73D-ED3D-4287-8C2F-1B14F97E3897}">
    <text>Can we consider a combination of both IT Exports and IT domestic as a total for 4.5 Mn</text>
  </threadedComment>
  <threadedComment ref="K24" dT="2022-11-13T10:26:30.46" personId="{7AE74C92-01DD-4F4D-AA4D-9236B7C8DF17}" id="{64D30E0C-0F13-485A-8431-30DE51C8BB4F}">
    <text>Currently employs approximately 13 Mn direct and indirect jobs https://www.investindia.gov.in/siru/electronic-systems-design-and-manufacturing-india-120-bn-market-opportunity</text>
  </threadedComment>
</ThreadedComments>
</file>

<file path=xl/threadedComments/threadedComment2.xml><?xml version="1.0" encoding="utf-8"?>
<ThreadedComments xmlns="http://schemas.microsoft.com/office/spreadsheetml/2018/threadedcomments" xmlns:x="http://schemas.openxmlformats.org/spreadsheetml/2006/main">
  <threadedComment ref="E7" dT="2022-11-10T11:30:45.39" personId="{7AE74C92-01DD-4F4D-AA4D-9236B7C8DF17}" id="{A84FC0B0-1E49-441A-9580-0CCC8EF18A06}">
    <text>As per NASSCOM it is 151 Bn</text>
  </threadedComment>
  <threadedComment ref="F7" dT="2022-11-10T12:27:06.38" personId="{7AE74C92-01DD-4F4D-AA4D-9236B7C8DF17}" id="{ECECA233-5B45-4C02-A450-9E7DCAD6DB5F}">
    <text>Assumed at 38% of Karnataka share (Source: RBI)</text>
  </threadedComment>
  <threadedComment ref="H7" dT="2022-11-10T11:31:02.31" personId="{7AE74C92-01DD-4F4D-AA4D-9236B7C8DF17}" id="{732F2FCB-B48F-47A4-8296-287D7A0D5A58}">
    <text>Based on IBEF Projections
As per NASSCOM it is 45 Bn</text>
  </threadedComment>
  <threadedComment ref="I7" dT="2022-11-10T12:27:31.19" personId="{7AE74C92-01DD-4F4D-AA4D-9236B7C8DF17}" id="{2AB85AB3-E5C5-4C6F-80E6-286C759D6194}">
    <text>Assumed at 30% of Karnataka share</text>
  </threadedComment>
  <threadedComment ref="K7" dT="2022-11-10T11:31:59.43" personId="{7AE74C92-01DD-4F4D-AA4D-9236B7C8DF17}" id="{67FE73FD-42D7-4D8C-99A2-390E4236730C}">
    <text>As per ICEA estimates - MeitY presentation</text>
  </threadedComment>
  <threadedComment ref="L7" dT="2022-11-10T12:28:52.35" personId="{7AE74C92-01DD-4F4D-AA4D-9236B7C8DF17}" id="{62DE068F-57FC-4C4C-A576-2244CFE8FABC}">
    <text>Assumed at 20% of Karnataka share (As per Invest Karnataka GoK, 40% of National share in electronic design, 10%
Contribution to the country’s electronic industrial output, 50%
National share in Electronic product companies)
https://investkarnataka.co.in/sectors/electronic-system-design-manufacturing/</text>
  </threadedComment>
  <threadedComment ref="N7" dT="2022-11-10T11:19:34.20" personId="{7AE74C92-01DD-4F4D-AA4D-9236B7C8DF17}" id="{8CA8D4A4-A763-41C2-B0CC-FCDC2F79A4DB}">
    <text>As per Inc 42 report on financial performance of startups considering ~$ 7.2 Bn in FY 20</text>
  </threadedComment>
  <threadedComment ref="O7" dT="2022-11-10T12:29:10.41" personId="{7AE74C92-01DD-4F4D-AA4D-9236B7C8DF17}" id="{0A780DD6-5CD0-4796-B70F-7E69CF44F97B}">
    <text>Assumed at 40% of Karnataka share</text>
  </threadedComment>
  <threadedComment ref="Q10" dT="2022-11-10T11:52:39.69" personId="{7AE74C92-01DD-4F4D-AA4D-9236B7C8DF17}" id="{52DBD54A-7C87-4DDD-B9F3-4E1A57CA19A0}">
    <text>Assumptions for the sub sectors based on McKinsey Global Institute Digital India Report for India level (Page 110 of MeitY Report) and                                      and the assumptions based on the BCG estimation for Karnataka based on 19 themes as prepared by BCG (Followed MeitY report for reference)</text>
  </threadedComment>
  <threadedComment ref="R10" dT="2022-11-10T12:01:09.80" personId="{7AE74C92-01DD-4F4D-AA4D-9236B7C8DF17}" id="{2E25BBF8-D883-4F45-8614-FD0442DAE93D}">
    <text>Matched as per BCG estimation done for Karnataka</text>
  </threadedComment>
  <threadedComment ref="E11" dT="2022-11-10T11:11:48.37" personId="{7AE74C92-01DD-4F4D-AA4D-9236B7C8DF17}" id="{4E7CDE5C-7CA8-4B48-9A05-20D4C1E80605}">
    <text>Based on NASSCOM projections - https://nasscom.in/knowledge-center/publications/technology-sector-india-2022-strategic-review</text>
  </threadedComment>
  <threadedComment ref="F11" dT="2022-11-10T11:12:21.36" personId="{7AE74C92-01DD-4F4D-AA4D-9236B7C8DF17}" id="{D0B23B17-25B0-4A4D-857C-F4CC8987CB28}">
    <text>Software &amp; Service Exports - RBI estimation and also additionally As per Indian Express article, Indian software exports in the current financial year are estimated to be worth $170 billion USD with Karnataka contributing an estimated 38 per cent</text>
  </threadedComment>
  <threadedComment ref="H11" dT="2022-11-10T11:15:26.56" personId="{7AE74C92-01DD-4F4D-AA4D-9236B7C8DF17}" id="{4B62BAA6-0510-4218-B41C-03EA622EB958}">
    <text>Assuming $ 227 Bn of Total Revenue during the year 22, IT Domestic would be total minus the IT Exports which would arrive at ~57 Bn (We have considered at $ 57 Bn)                               Additionally  Referred IBEF report and Business standard article)</text>
  </threadedComment>
  <threadedComment ref="K11" dT="2022-11-10T11:16:28.93" personId="{7AE74C92-01DD-4F4D-AA4D-9236B7C8DF17}" id="{E69462E9-6641-4213-BF29-9C7ECB4AA215}">
    <text>As per ICEA estimates</text>
  </threadedComment>
  <threadedComment ref="N11" dT="2022-11-10T11:20:19.18" personId="{7AE74C92-01DD-4F4D-AA4D-9236B7C8DF17}" id="{8CD1DD19-667E-46B2-9AC9-82E1040FD8EA}">
    <text>As per Inc 42 report on financial performance of startups considering ~$ 7.2 Bn in FY 20. Based on Mr. Pai's guidance, we have considered it at ~10 Bn (Assuming 51% growth over FY 20 (As for FY 19 to FY 20 at 51% growth in overall revenue)</text>
  </threadedComment>
  <threadedComment ref="O11" dT="2022-11-13T09:08:28.86" personId="{7AE74C92-01DD-4F4D-AA4D-9236B7C8DF17}" id="{D2191305-9EB6-40A9-82EB-1F4EB297D91B}">
    <text xml:space="preserve">Bengaluru, being one of India’s largest cities contributing to ~40% of Unicorns </text>
  </threadedComment>
  <threadedComment ref="R11" dT="2022-11-21T10:11:36.94" personId="{7AE74C92-01DD-4F4D-AA4D-9236B7C8DF17}" id="{273659D3-1C61-4565-924A-7BE12A5D08AB}">
    <text>Karnataka would reach ~35 Bn by the year 2025-26</text>
  </threadedComment>
  <threadedComment ref="E17" dT="2022-11-22T06:17:56.53" personId="{7AE74C92-01DD-4F4D-AA4D-9236B7C8DF17}" id="{27B05FCE-6D9E-48FA-919B-41BD90B6FE78}">
    <text>Total Export plus domestic is 4.47 Mn</text>
  </threadedComment>
  <threadedComment ref="E18" dT="2022-11-10T12:08:04.04" personId="{7AE74C92-01DD-4F4D-AA4D-9236B7C8DF17}" id="{E1260967-00F0-463A-B1FA-F35981452588}">
    <text>NASSCOM projections
https://www.meity.gov.in/content/employment  and additional Statista Reference - https://www.statista.com/statistics/320729/india-it-industry-direct-indirect-employment/</text>
  </threadedComment>
  <threadedComment ref="F18" dT="2022-11-22T06:07:41.56" personId="{7AE74C92-01DD-4F4D-AA4D-9236B7C8DF17}" id="{2AED0CE2-1ED9-471E-8C96-C55EB88AE036}">
    <text>Considering total 196 Bn (151 Bn IT exports and 45 Bn IT domestic), the share of domestic in total is 22.9% (We have considered round figure of 22%)</text>
  </threadedComment>
  <threadedComment ref="H18" dT="2022-11-22T06:08:39.92" personId="{7AE74C92-01DD-4F4D-AA4D-9236B7C8DF17}" id="{464B26AC-1E49-4759-AD28-A8208DD44286}">
    <text>Considering total 196 Bn (151 Bn IT exports and 45 Bn IT domestic), the share of domestic in total is 22.9% (We have considered round figure of 22%)</text>
  </threadedComment>
  <threadedComment ref="N18" dT="2022-11-13T10:32:18.39" personId="{7AE74C92-01DD-4F4D-AA4D-9236B7C8DF17}" id="{2F138A53-716F-485B-B969-1CDA5E1F81E6}">
    <text>Based on BV Sir suggestion, we have changed it to Assuming ~53000 startups in India employing about ~20 people per startup, we arrive at 10,60,000 employees</text>
  </threadedComment>
  <threadedComment ref="E22" dT="2022-11-22T06:10:56.86" personId="{7AE74C92-01DD-4F4D-AA4D-9236B7C8DF17}" id="{E8898F80-6E65-468F-B782-98C48DBF2E7C}">
    <text>Total is 4.5 Mn, out of which 0.99 is for domestic, balance of 3.51 Mn is for IT exports</text>
  </threadedComment>
  <threadedComment ref="E23" dT="2022-11-10T12:15:39.62" personId="{7AE74C92-01DD-4F4D-AA4D-9236B7C8DF17}" id="{B50CE1CA-B2A3-42D2-B4E9-5BF055CCC8B9}">
    <text>NASSCOM Reference:
https://nasscom.in/sites/default/files/media_pdf/NASSCOM-Statement-Job-creation-and-Hiring-in-Indian-IT-BPM-industry.pdf
Statista Reference - https://www.statista.com/statistics/320729/india-it-industry-direct-indirect-employment/
Additionally, https://trak.in/tags/business/2022/02/17/indian-it-sector-now-has-50-lakh-employees-becomes-1-employer-in-india/</text>
  </threadedComment>
  <threadedComment ref="F23" dT="2022-11-10T12:16:07.22" personId="{7AE74C92-01DD-4F4D-AA4D-9236B7C8DF17}" id="{F7EDFD3D-E86A-4021-AD59-152C831BC91A}">
    <text>Based on 38% assumption</text>
  </threadedComment>
  <threadedComment ref="H23" dT="2022-11-13T10:13:35.13" personId="{7AE74C92-01DD-4F4D-AA4D-9236B7C8DF17}" id="{67B4318B-03E1-4F20-8289-9D0D0840A14B}">
    <text>Considering total 227 Bn (178 Bn IT exports and 49 Bn IT domestic), the share of domestic in total is 21.5% (We have considered round figure of 22%)</text>
  </threadedComment>
  <threadedComment ref="I23" dT="2022-11-10T12:17:01.97" personId="{7AE74C92-01DD-4F4D-AA4D-9236B7C8DF17}" id="{C2ABA76D-97D5-4267-B6E5-4E22A9E892A5}">
    <text>Based on 30% for Karnataka share</text>
  </threadedComment>
  <threadedComment ref="K23" dT="2022-11-10T12:18:02.37" personId="{7AE74C92-01DD-4F4D-AA4D-9236B7C8DF17}" id="{A0C8C7A6-8953-41C2-97EB-980DD4A6CCB8}">
    <text>Assuming 7.5 Bn USD employable talent (As Salaries payable), converting it at Rs.79 per USD, we arrive at INR 599,266,618,485 (~59,932 Crores). Assuming a CTC of Rs.8,00,000 per person working in the field of ESDM, we have around 12 people working per crore. Multiplying 59,932 Crores *12, we arrive at 7,19,190 or 0.7 Mn for India level employability</text>
  </threadedComment>
  <threadedComment ref="N23" dT="2022-11-10T12:22:26.09" personId="{7AE74C92-01DD-4F4D-AA4D-9236B7C8DF17}" id="{B49B2752-D3A7-41D3-A75C-4BB0DDF12E4E}">
    <text xml:space="preserve">Assumption based on Inc 42 India startup ecosystem report and additionally Based on BV Sir suggestion, we have changed it to Assuming ~57000 startups in India employing about ~20 people per startup, we arrive at 10,60,000 </text>
  </threadedComment>
  <threadedComment ref="O23" dT="2022-11-10T12:24:06.88" personId="{7AE74C92-01DD-4F4D-AA4D-9236B7C8DF17}" id="{B510406D-98CD-41A8-B259-85A94EE90F0D}">
    <text>Assumed at 40% for Karnataka share</text>
  </threadedComment>
  <threadedComment ref="H24" dT="2022-11-13T10:23:18.68" personId="{7AE74C92-01DD-4F4D-AA4D-9236B7C8DF17}" id="{23C934A1-5C88-42B7-AFB8-AB90F5E354AD}">
    <text>Can we consider a combination of both IT Exports and IT domestic as a total for 4.5 Mn</text>
  </threadedComment>
  <threadedComment ref="K24" dT="2022-11-13T10:26:30.46" personId="{7AE74C92-01DD-4F4D-AA4D-9236B7C8DF17}" id="{6CFE365B-6515-4432-ABB8-D4DDBE504878}">
    <text>Currently employs approximately 13 Mn direct and indirect jobs https://www.investindia.gov.in/siru/electronic-systems-design-and-manufacturing-india-120-bn-market-opportunity</text>
  </threadedComment>
</ThreadedComments>
</file>

<file path=xl/threadedComments/threadedComment3.xml><?xml version="1.0" encoding="utf-8"?>
<ThreadedComments xmlns="http://schemas.microsoft.com/office/spreadsheetml/2018/threadedcomments" xmlns:x="http://schemas.openxmlformats.org/spreadsheetml/2006/main">
  <threadedComment ref="C4" dT="2022-11-10T11:36:31.53" personId="{7AE74C92-01DD-4F4D-AA4D-9236B7C8DF17}" id="{3A911AFD-58CB-40AE-A230-7093A4B04C42}">
    <text>As per Mckinsey Report Page 9) and same link https://www.mckinsey.com/~/media/mckinsey/business%20functions/mckinsey%20digital/our%20insights/digital%20india%20technology%20to%20transform%20a%20connected%20nation/mgi-digital-india-in-brief-april-2019.pdf</text>
  </threadedComment>
  <threadedComment ref="F4" dT="2022-11-10T11:41:52.19" personId="{7AE74C92-01DD-4F4D-AA4D-9236B7C8DF17}" id="{F0B04B73-8470-4624-AB87-5A8080C17F2A}">
    <text>As per KDEM estimation, we have arrived at ~403 Bn</text>
  </threadedComment>
  <threadedComment ref="J4" dT="2022-11-10T11:39:34.68" personId="{7AE74C92-01DD-4F4D-AA4D-9236B7C8DF17}" id="{274FF4E5-F7BC-48EE-B5D6-393C3866938A}">
    <text>435 Bn by 2025 as per Mckinsey report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R25"/>
  <sheetViews>
    <sheetView zoomScaleNormal="100" workbookViewId="0">
      <selection activeCell="F11" sqref="F11"/>
    </sheetView>
  </sheetViews>
  <sheetFormatPr defaultRowHeight="14.4" x14ac:dyDescent="0.3"/>
  <cols>
    <col min="2" max="2" width="17.21875" customWidth="1"/>
    <col min="3" max="3" width="17.77734375" style="2" bestFit="1" customWidth="1"/>
    <col min="5" max="5" width="10.88671875" bestFit="1" customWidth="1"/>
    <col min="6" max="6" width="11.88671875" customWidth="1"/>
    <col min="8" max="8" width="10.6640625" bestFit="1" customWidth="1"/>
    <col min="9" max="9" width="12.5546875" customWidth="1"/>
    <col min="12" max="12" width="12.44140625" customWidth="1"/>
    <col min="15" max="15" width="12.77734375" customWidth="1"/>
    <col min="17" max="17" width="23.44140625" customWidth="1"/>
    <col min="18" max="18" width="11.44140625" customWidth="1"/>
  </cols>
  <sheetData>
    <row r="2" spans="2:18" ht="15" thickBot="1" x14ac:dyDescent="0.35">
      <c r="E2" s="30">
        <v>1</v>
      </c>
      <c r="F2" s="30"/>
      <c r="H2" s="30">
        <v>2</v>
      </c>
      <c r="I2" s="30"/>
      <c r="K2" s="30">
        <v>3</v>
      </c>
      <c r="L2" s="30"/>
      <c r="N2" s="30">
        <v>4</v>
      </c>
      <c r="O2" s="30"/>
      <c r="Q2" s="30">
        <v>5</v>
      </c>
      <c r="R2" s="30"/>
    </row>
    <row r="3" spans="2:18" s="3" customFormat="1" ht="18.600000000000001" thickBot="1" x14ac:dyDescent="0.4">
      <c r="B3" s="5"/>
      <c r="C3" s="5"/>
      <c r="D3" s="5"/>
      <c r="E3" s="32" t="s">
        <v>3</v>
      </c>
      <c r="F3" s="32"/>
      <c r="G3" s="5"/>
      <c r="H3" s="32" t="s">
        <v>4</v>
      </c>
      <c r="I3" s="32"/>
      <c r="J3" s="5"/>
      <c r="K3" s="32" t="s">
        <v>5</v>
      </c>
      <c r="L3" s="32"/>
      <c r="M3" s="5"/>
      <c r="N3" s="32" t="s">
        <v>6</v>
      </c>
      <c r="O3" s="32"/>
      <c r="P3" s="5"/>
      <c r="Q3" s="32" t="s">
        <v>7</v>
      </c>
      <c r="R3" s="32"/>
    </row>
    <row r="4" spans="2:18" s="3" customFormat="1" ht="18.600000000000001" thickBot="1" x14ac:dyDescent="0.4">
      <c r="B4" s="5"/>
      <c r="C4" s="5"/>
      <c r="D4" s="5"/>
      <c r="E4" s="5" t="s">
        <v>8</v>
      </c>
      <c r="F4" s="5" t="s">
        <v>9</v>
      </c>
      <c r="G4" s="5"/>
      <c r="H4" s="5" t="s">
        <v>8</v>
      </c>
      <c r="I4" s="5" t="s">
        <v>9</v>
      </c>
      <c r="J4" s="5"/>
      <c r="K4" s="5" t="s">
        <v>8</v>
      </c>
      <c r="L4" s="5" t="s">
        <v>9</v>
      </c>
      <c r="M4" s="5"/>
      <c r="N4" s="5" t="s">
        <v>8</v>
      </c>
      <c r="O4" s="5" t="s">
        <v>9</v>
      </c>
      <c r="P4" s="5"/>
      <c r="Q4" s="5" t="s">
        <v>8</v>
      </c>
      <c r="R4" s="5" t="s">
        <v>9</v>
      </c>
    </row>
    <row r="5" spans="2:18" ht="18.600000000000001" customHeight="1" thickBot="1" x14ac:dyDescent="0.4">
      <c r="B5" s="35" t="s">
        <v>11</v>
      </c>
      <c r="C5" s="7" t="s">
        <v>0</v>
      </c>
      <c r="D5" s="33"/>
      <c r="E5" s="33"/>
      <c r="F5" s="33"/>
      <c r="G5" s="33"/>
      <c r="H5" s="33"/>
      <c r="I5" s="33"/>
      <c r="J5" s="33"/>
      <c r="K5" s="33"/>
      <c r="L5" s="33"/>
      <c r="M5" s="33"/>
      <c r="N5" s="33"/>
      <c r="O5" s="33"/>
      <c r="P5" s="33"/>
      <c r="Q5" s="33"/>
      <c r="R5" s="33"/>
    </row>
    <row r="6" spans="2:18" ht="14.4" customHeight="1" thickBot="1" x14ac:dyDescent="0.35">
      <c r="B6" s="35"/>
      <c r="C6" s="8" t="s">
        <v>10</v>
      </c>
      <c r="D6" s="9"/>
      <c r="E6" s="9">
        <v>150</v>
      </c>
      <c r="F6" s="9">
        <v>57</v>
      </c>
      <c r="G6" s="9"/>
      <c r="H6" s="9">
        <v>45</v>
      </c>
      <c r="I6" s="22">
        <v>13.5</v>
      </c>
      <c r="J6" s="9"/>
      <c r="K6" s="9">
        <v>74.7</v>
      </c>
      <c r="L6" s="22">
        <v>15</v>
      </c>
      <c r="M6" s="9"/>
      <c r="N6" s="9">
        <v>7.2</v>
      </c>
      <c r="O6" s="9">
        <v>2.88</v>
      </c>
      <c r="P6" s="9"/>
      <c r="Q6" s="9"/>
      <c r="R6" s="9"/>
    </row>
    <row r="7" spans="2:18" ht="16.2" thickBot="1" x14ac:dyDescent="0.35">
      <c r="B7" s="35"/>
      <c r="C7" s="8" t="s">
        <v>1</v>
      </c>
      <c r="D7" s="9"/>
      <c r="E7" s="9"/>
      <c r="F7" s="9"/>
      <c r="G7" s="9"/>
      <c r="H7" s="9"/>
      <c r="I7" s="9"/>
      <c r="J7" s="9"/>
      <c r="K7" s="9"/>
      <c r="L7" s="9"/>
      <c r="M7" s="9"/>
      <c r="N7" s="9"/>
      <c r="O7" s="9"/>
      <c r="P7" s="9"/>
      <c r="Q7" s="9"/>
      <c r="R7" s="9"/>
    </row>
    <row r="8" spans="2:18" ht="15" thickBot="1" x14ac:dyDescent="0.35">
      <c r="B8" s="35"/>
      <c r="C8" s="10" t="s">
        <v>17</v>
      </c>
      <c r="D8" s="9"/>
      <c r="E8" s="9" t="s">
        <v>18</v>
      </c>
      <c r="F8" s="9" t="s">
        <v>19</v>
      </c>
      <c r="G8" s="9"/>
      <c r="H8" s="9">
        <v>28</v>
      </c>
      <c r="I8" s="9">
        <v>8.4</v>
      </c>
      <c r="J8" s="9"/>
      <c r="K8" s="9"/>
      <c r="L8" s="9"/>
      <c r="M8" s="9"/>
      <c r="N8" s="9"/>
      <c r="O8" s="9"/>
      <c r="P8" s="9"/>
      <c r="Q8" s="9"/>
      <c r="R8" s="9"/>
    </row>
    <row r="9" spans="2:18" ht="18.600000000000001" thickBot="1" x14ac:dyDescent="0.4">
      <c r="B9" s="35"/>
      <c r="C9" s="11" t="s">
        <v>2</v>
      </c>
      <c r="D9" s="33"/>
      <c r="E9" s="33"/>
      <c r="F9" s="33"/>
      <c r="G9" s="33"/>
      <c r="H9" s="33"/>
      <c r="I9" s="33"/>
      <c r="J9" s="33"/>
      <c r="K9" s="33"/>
      <c r="L9" s="33"/>
      <c r="M9" s="33"/>
      <c r="N9" s="33"/>
      <c r="O9" s="33"/>
      <c r="P9" s="33"/>
      <c r="Q9" s="33"/>
      <c r="R9" s="33"/>
    </row>
    <row r="10" spans="2:18" ht="16.2" thickBot="1" x14ac:dyDescent="0.35">
      <c r="B10" s="35"/>
      <c r="C10" s="8" t="s">
        <v>10</v>
      </c>
      <c r="D10" s="9"/>
      <c r="E10" s="9">
        <v>178</v>
      </c>
      <c r="F10" s="9">
        <v>64.599999999999994</v>
      </c>
      <c r="G10" s="9"/>
      <c r="H10" s="9">
        <f>227-178</f>
        <v>49</v>
      </c>
      <c r="I10" s="22">
        <v>14.7</v>
      </c>
      <c r="J10" s="9"/>
      <c r="K10" s="9">
        <v>90</v>
      </c>
      <c r="L10" s="22">
        <v>18</v>
      </c>
      <c r="M10" s="9"/>
      <c r="N10" s="9">
        <v>10</v>
      </c>
      <c r="O10" s="9">
        <v>4</v>
      </c>
      <c r="P10" s="9"/>
      <c r="Q10" s="9">
        <v>77</v>
      </c>
      <c r="R10" s="9">
        <v>6</v>
      </c>
    </row>
    <row r="11" spans="2:18" ht="16.2" thickBot="1" x14ac:dyDescent="0.35">
      <c r="B11" s="35"/>
      <c r="C11" s="8" t="s">
        <v>1</v>
      </c>
      <c r="D11" s="9"/>
      <c r="E11" s="9"/>
      <c r="F11" s="9"/>
      <c r="G11" s="9"/>
      <c r="H11" s="9"/>
      <c r="I11" s="9"/>
      <c r="J11" s="9"/>
      <c r="K11" s="9"/>
      <c r="L11" s="9"/>
      <c r="M11" s="9"/>
      <c r="N11" s="9"/>
      <c r="O11" s="9"/>
      <c r="P11" s="9"/>
      <c r="R11" s="9"/>
    </row>
    <row r="12" spans="2:18" ht="18.600000000000001" thickBot="1" x14ac:dyDescent="0.35">
      <c r="B12" s="6"/>
      <c r="C12" s="8" t="s">
        <v>17</v>
      </c>
      <c r="D12" s="9"/>
      <c r="E12" s="9">
        <v>156.69999999999999</v>
      </c>
      <c r="F12" s="9">
        <v>59.54</v>
      </c>
      <c r="G12" s="9"/>
      <c r="H12" s="9">
        <v>28.9</v>
      </c>
      <c r="I12" s="9">
        <v>8.67</v>
      </c>
      <c r="J12" s="9"/>
      <c r="K12" s="9"/>
      <c r="L12" s="9"/>
      <c r="M12" s="9"/>
      <c r="N12" s="9"/>
      <c r="O12" s="9"/>
      <c r="P12" s="9"/>
      <c r="Q12" s="9"/>
      <c r="R12" s="9"/>
    </row>
    <row r="13" spans="2:18" ht="18.600000000000001" thickBot="1" x14ac:dyDescent="0.35">
      <c r="B13" s="6"/>
      <c r="C13" s="8"/>
      <c r="D13" s="9"/>
      <c r="E13" s="9"/>
      <c r="F13" s="9"/>
      <c r="G13" s="9"/>
      <c r="H13" s="9"/>
      <c r="I13" s="9"/>
      <c r="J13" s="9"/>
      <c r="K13" s="9"/>
      <c r="L13" s="9"/>
      <c r="M13" s="9"/>
      <c r="N13" s="9"/>
      <c r="O13" s="9"/>
      <c r="P13" s="9"/>
      <c r="Q13" s="9"/>
      <c r="R13" s="9"/>
    </row>
    <row r="14" spans="2:18" ht="15" thickBot="1" x14ac:dyDescent="0.35">
      <c r="B14" s="34"/>
      <c r="C14" s="34"/>
      <c r="D14" s="34"/>
      <c r="E14" s="34"/>
      <c r="F14" s="34"/>
      <c r="G14" s="34"/>
      <c r="H14" s="34"/>
      <c r="I14" s="34"/>
      <c r="J14" s="34"/>
      <c r="K14" s="34"/>
      <c r="L14" s="34"/>
      <c r="M14" s="34"/>
      <c r="N14" s="34"/>
      <c r="O14" s="34"/>
      <c r="P14" s="34"/>
      <c r="Q14" s="34"/>
      <c r="R14" s="34"/>
    </row>
    <row r="15" spans="2:18" ht="15" thickBot="1" x14ac:dyDescent="0.35">
      <c r="B15" s="34"/>
      <c r="C15" s="34"/>
      <c r="D15" s="34"/>
      <c r="E15" s="34"/>
      <c r="F15" s="34"/>
      <c r="G15" s="34"/>
      <c r="H15" s="34"/>
      <c r="I15" s="34"/>
      <c r="J15" s="34"/>
      <c r="K15" s="34"/>
      <c r="L15" s="34"/>
      <c r="M15" s="34"/>
      <c r="N15" s="34"/>
      <c r="O15" s="34"/>
      <c r="P15" s="34"/>
      <c r="Q15" s="34"/>
      <c r="R15" s="34"/>
    </row>
    <row r="16" spans="2:18" ht="18.600000000000001" customHeight="1" thickBot="1" x14ac:dyDescent="0.4">
      <c r="B16" s="37" t="s">
        <v>12</v>
      </c>
      <c r="C16" s="7" t="s">
        <v>0</v>
      </c>
      <c r="D16" s="33"/>
      <c r="E16" s="33"/>
      <c r="F16" s="33"/>
      <c r="G16" s="33"/>
      <c r="H16" s="33"/>
      <c r="I16" s="33"/>
      <c r="J16" s="33"/>
      <c r="K16" s="33"/>
      <c r="L16" s="33"/>
      <c r="M16" s="33"/>
      <c r="N16" s="33"/>
      <c r="O16" s="33"/>
      <c r="P16" s="33"/>
      <c r="Q16" s="33"/>
      <c r="R16" s="33"/>
    </row>
    <row r="17" spans="2:18" ht="16.2" customHeight="1" thickBot="1" x14ac:dyDescent="0.35">
      <c r="B17" s="38"/>
      <c r="C17" s="8" t="s">
        <v>10</v>
      </c>
      <c r="D17" s="9"/>
      <c r="E17" s="9">
        <v>4.47</v>
      </c>
      <c r="F17" s="9">
        <v>1.7</v>
      </c>
      <c r="G17" s="9"/>
      <c r="H17" s="9">
        <v>0.8</v>
      </c>
      <c r="I17" s="9">
        <v>0.24</v>
      </c>
      <c r="J17" s="9"/>
      <c r="K17" s="9">
        <v>0.57999999999999996</v>
      </c>
      <c r="L17" s="9">
        <v>0.11</v>
      </c>
      <c r="M17" s="9"/>
      <c r="N17" s="9">
        <v>1</v>
      </c>
      <c r="O17" s="9">
        <v>0.4</v>
      </c>
      <c r="P17" s="9"/>
      <c r="Q17" s="9"/>
      <c r="R17" s="9"/>
    </row>
    <row r="18" spans="2:18" ht="16.2" customHeight="1" thickBot="1" x14ac:dyDescent="0.35">
      <c r="B18" s="38"/>
      <c r="C18" s="8" t="s">
        <v>1</v>
      </c>
      <c r="D18" s="9"/>
      <c r="E18" s="9"/>
      <c r="F18" s="9"/>
      <c r="G18" s="9"/>
      <c r="H18" s="9"/>
      <c r="I18" s="9"/>
      <c r="J18" s="9"/>
      <c r="K18" s="9"/>
      <c r="L18" s="9"/>
      <c r="M18" s="9"/>
      <c r="N18" s="9"/>
      <c r="O18" s="9"/>
      <c r="P18" s="9"/>
      <c r="Q18" s="9"/>
      <c r="R18" s="9"/>
    </row>
    <row r="19" spans="2:18" ht="16.2" customHeight="1" thickBot="1" x14ac:dyDescent="0.35">
      <c r="B19" s="38"/>
      <c r="C19" s="8" t="s">
        <v>17</v>
      </c>
      <c r="D19" s="9"/>
      <c r="E19" s="9"/>
      <c r="F19" s="9"/>
      <c r="G19" s="9"/>
      <c r="H19" s="9"/>
      <c r="I19" s="9"/>
      <c r="J19" s="9"/>
      <c r="K19" s="9"/>
      <c r="L19" s="9"/>
      <c r="M19" s="9"/>
      <c r="N19" s="9"/>
      <c r="O19" s="9"/>
      <c r="P19" s="9"/>
      <c r="Q19" s="9"/>
      <c r="R19" s="9"/>
    </row>
    <row r="20" spans="2:18" ht="15" customHeight="1" thickBot="1" x14ac:dyDescent="0.35">
      <c r="B20" s="38"/>
      <c r="C20" s="36"/>
      <c r="D20" s="36"/>
      <c r="E20" s="36"/>
      <c r="F20" s="36"/>
      <c r="G20" s="36"/>
      <c r="H20" s="36"/>
      <c r="I20" s="36"/>
      <c r="J20" s="36"/>
      <c r="K20" s="36"/>
      <c r="L20" s="36"/>
      <c r="M20" s="36"/>
      <c r="N20" s="36"/>
      <c r="O20" s="36"/>
      <c r="P20" s="36"/>
      <c r="Q20" s="36"/>
      <c r="R20" s="36"/>
    </row>
    <row r="21" spans="2:18" ht="18.600000000000001" thickBot="1" x14ac:dyDescent="0.4">
      <c r="B21" s="38"/>
      <c r="C21" s="11" t="s">
        <v>2</v>
      </c>
      <c r="D21" s="33"/>
      <c r="E21" s="33"/>
      <c r="F21" s="33"/>
      <c r="G21" s="33"/>
      <c r="H21" s="33"/>
      <c r="I21" s="33"/>
      <c r="J21" s="33"/>
      <c r="K21" s="33"/>
      <c r="L21" s="33"/>
      <c r="M21" s="33"/>
      <c r="N21" s="33"/>
      <c r="O21" s="33"/>
      <c r="P21" s="33"/>
      <c r="Q21" s="33"/>
      <c r="R21" s="33"/>
    </row>
    <row r="22" spans="2:18" ht="16.2" customHeight="1" thickBot="1" x14ac:dyDescent="0.35">
      <c r="B22" s="38"/>
      <c r="C22" s="8" t="s">
        <v>10</v>
      </c>
      <c r="D22" s="9"/>
      <c r="E22" s="9">
        <v>4.5</v>
      </c>
      <c r="F22" s="9">
        <v>1.71</v>
      </c>
      <c r="G22" s="9"/>
      <c r="H22" s="9">
        <v>0.9</v>
      </c>
      <c r="I22" s="9">
        <v>0.27</v>
      </c>
      <c r="J22" s="9"/>
      <c r="K22" s="9">
        <v>0.7</v>
      </c>
      <c r="L22" s="9">
        <v>0.14000000000000001</v>
      </c>
      <c r="M22" s="9"/>
      <c r="N22" s="15">
        <v>1.1399999999999999</v>
      </c>
      <c r="O22" s="9">
        <v>0.45</v>
      </c>
      <c r="P22" s="9"/>
      <c r="Q22" s="9"/>
      <c r="R22" s="9"/>
    </row>
    <row r="23" spans="2:18" ht="16.2" customHeight="1" thickBot="1" x14ac:dyDescent="0.35">
      <c r="B23" s="39"/>
      <c r="C23" s="8" t="s">
        <v>1</v>
      </c>
      <c r="D23" s="9"/>
      <c r="E23" s="9"/>
      <c r="F23" s="9"/>
      <c r="G23" s="9"/>
      <c r="H23" s="15"/>
      <c r="I23" s="9"/>
      <c r="J23" s="9"/>
      <c r="K23" s="9"/>
      <c r="L23" s="9"/>
      <c r="M23" s="9"/>
      <c r="N23" s="9"/>
      <c r="O23" s="9"/>
      <c r="P23" s="9"/>
      <c r="Q23" s="9"/>
      <c r="R23" s="9"/>
    </row>
    <row r="24" spans="2:18" ht="16.2" customHeight="1" x14ac:dyDescent="0.3">
      <c r="B24" s="16"/>
      <c r="C24" s="17" t="s">
        <v>17</v>
      </c>
      <c r="D24" s="18"/>
      <c r="E24" s="18"/>
      <c r="F24" s="18"/>
      <c r="G24" s="18"/>
      <c r="H24" s="18"/>
      <c r="I24" s="18"/>
      <c r="J24" s="18"/>
      <c r="K24" s="18"/>
      <c r="L24" s="18"/>
      <c r="M24" s="18"/>
      <c r="N24" s="18"/>
      <c r="O24" s="18"/>
      <c r="P24" s="18"/>
      <c r="Q24" s="18"/>
      <c r="R24" s="18"/>
    </row>
    <row r="25" spans="2:18" x14ac:dyDescent="0.3">
      <c r="C25" s="31"/>
      <c r="D25" s="31"/>
      <c r="E25" s="31"/>
      <c r="F25" s="31"/>
      <c r="G25" s="31"/>
      <c r="H25" s="31"/>
      <c r="I25" s="31"/>
      <c r="J25" s="31"/>
      <c r="K25" s="31"/>
      <c r="L25" s="31"/>
      <c r="M25" s="31"/>
      <c r="N25" s="31"/>
      <c r="O25" s="31"/>
      <c r="P25" s="31"/>
      <c r="Q25" s="31"/>
      <c r="R25" s="31"/>
    </row>
  </sheetData>
  <mergeCells count="19">
    <mergeCell ref="C25:R25"/>
    <mergeCell ref="K3:L3"/>
    <mergeCell ref="N3:O3"/>
    <mergeCell ref="Q3:R3"/>
    <mergeCell ref="D5:R5"/>
    <mergeCell ref="D9:R9"/>
    <mergeCell ref="D16:R16"/>
    <mergeCell ref="B14:R15"/>
    <mergeCell ref="B5:B11"/>
    <mergeCell ref="E3:F3"/>
    <mergeCell ref="H3:I3"/>
    <mergeCell ref="D21:R21"/>
    <mergeCell ref="C20:R20"/>
    <mergeCell ref="B16:B23"/>
    <mergeCell ref="E2:F2"/>
    <mergeCell ref="H2:I2"/>
    <mergeCell ref="K2:L2"/>
    <mergeCell ref="N2:O2"/>
    <mergeCell ref="Q2:R2"/>
  </mergeCells>
  <pageMargins left="0.7" right="0.7" top="0.75" bottom="0.75" header="0.3" footer="0.3"/>
  <pageSetup paperSize="9" scale="64"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D306-2870-4E13-8D31-51C666258D75}">
  <dimension ref="B2:R25"/>
  <sheetViews>
    <sheetView tabSelected="1" workbookViewId="0">
      <selection activeCell="H23" sqref="H23"/>
    </sheetView>
  </sheetViews>
  <sheetFormatPr defaultRowHeight="14.4" x14ac:dyDescent="0.3"/>
  <cols>
    <col min="2" max="2" width="17.21875" customWidth="1"/>
    <col min="3" max="3" width="17.77734375" style="19" bestFit="1" customWidth="1"/>
    <col min="5" max="5" width="10.88671875" bestFit="1" customWidth="1"/>
    <col min="6" max="6" width="11.88671875" customWidth="1"/>
    <col min="8" max="8" width="10.6640625" bestFit="1" customWidth="1"/>
    <col min="9" max="9" width="12.5546875" style="28" customWidth="1"/>
    <col min="12" max="12" width="12.44140625" customWidth="1"/>
    <col min="15" max="15" width="12.77734375" style="28" customWidth="1"/>
    <col min="17" max="17" width="23.44140625" customWidth="1"/>
    <col min="18" max="18" width="11.44140625" customWidth="1"/>
  </cols>
  <sheetData>
    <row r="2" spans="2:18" ht="15" thickBot="1" x14ac:dyDescent="0.35">
      <c r="E2" s="30">
        <v>1</v>
      </c>
      <c r="F2" s="30"/>
      <c r="H2" s="30">
        <v>2</v>
      </c>
      <c r="I2" s="30"/>
      <c r="K2" s="30">
        <v>3</v>
      </c>
      <c r="L2" s="30"/>
      <c r="N2" s="30">
        <v>4</v>
      </c>
      <c r="O2" s="30"/>
      <c r="Q2" s="30">
        <v>5</v>
      </c>
      <c r="R2" s="30"/>
    </row>
    <row r="3" spans="2:18" s="3" customFormat="1" ht="18.600000000000001" thickBot="1" x14ac:dyDescent="0.4">
      <c r="B3" s="5"/>
      <c r="C3" s="5"/>
      <c r="D3" s="5"/>
      <c r="E3" s="32" t="s">
        <v>3</v>
      </c>
      <c r="F3" s="32"/>
      <c r="G3" s="5"/>
      <c r="H3" s="32" t="s">
        <v>4</v>
      </c>
      <c r="I3" s="32"/>
      <c r="J3" s="5"/>
      <c r="K3" s="32" t="s">
        <v>5</v>
      </c>
      <c r="L3" s="32"/>
      <c r="M3" s="5"/>
      <c r="N3" s="32" t="s">
        <v>6</v>
      </c>
      <c r="O3" s="32"/>
      <c r="P3" s="5"/>
      <c r="Q3" s="32" t="s">
        <v>7</v>
      </c>
      <c r="R3" s="32"/>
    </row>
    <row r="4" spans="2:18" s="3" customFormat="1" ht="18.600000000000001" thickBot="1" x14ac:dyDescent="0.4">
      <c r="B4" s="5"/>
      <c r="C4" s="5"/>
      <c r="D4" s="5"/>
      <c r="E4" s="5" t="s">
        <v>8</v>
      </c>
      <c r="F4" s="5" t="s">
        <v>9</v>
      </c>
      <c r="G4" s="5"/>
      <c r="H4" s="5" t="s">
        <v>8</v>
      </c>
      <c r="I4" s="25" t="s">
        <v>9</v>
      </c>
      <c r="J4" s="5"/>
      <c r="K4" s="5" t="s">
        <v>8</v>
      </c>
      <c r="L4" s="5" t="s">
        <v>9</v>
      </c>
      <c r="M4" s="5"/>
      <c r="N4" s="5" t="s">
        <v>8</v>
      </c>
      <c r="O4" s="25" t="s">
        <v>9</v>
      </c>
      <c r="P4" s="5"/>
      <c r="Q4" s="5" t="s">
        <v>8</v>
      </c>
      <c r="R4" s="5" t="s">
        <v>9</v>
      </c>
    </row>
    <row r="5" spans="2:18" ht="18.600000000000001" customHeight="1" thickBot="1" x14ac:dyDescent="0.4">
      <c r="B5" s="35" t="s">
        <v>11</v>
      </c>
      <c r="C5" s="7" t="s">
        <v>0</v>
      </c>
      <c r="D5" s="33"/>
      <c r="E5" s="33"/>
      <c r="F5" s="33"/>
      <c r="G5" s="33"/>
      <c r="H5" s="33"/>
      <c r="I5" s="33"/>
      <c r="J5" s="33"/>
      <c r="K5" s="33"/>
      <c r="L5" s="33"/>
      <c r="M5" s="33"/>
      <c r="N5" s="33"/>
      <c r="O5" s="33"/>
      <c r="P5" s="33"/>
      <c r="Q5" s="33"/>
      <c r="R5" s="33"/>
    </row>
    <row r="6" spans="2:18" ht="14.4" customHeight="1" thickBot="1" x14ac:dyDescent="0.35">
      <c r="B6" s="35"/>
      <c r="C6" s="8" t="s">
        <v>10</v>
      </c>
      <c r="D6" s="9"/>
      <c r="E6" s="9">
        <v>151</v>
      </c>
      <c r="F6" s="9">
        <v>57</v>
      </c>
      <c r="G6" s="9"/>
      <c r="H6" s="9">
        <v>45</v>
      </c>
      <c r="I6" s="26">
        <v>13.5</v>
      </c>
      <c r="J6" s="9"/>
      <c r="K6" s="9">
        <v>74.7</v>
      </c>
      <c r="L6" s="23">
        <v>15</v>
      </c>
      <c r="M6" s="9"/>
      <c r="N6" s="9">
        <v>7.2</v>
      </c>
      <c r="O6" s="26">
        <v>2.88</v>
      </c>
      <c r="P6" s="9"/>
      <c r="Q6" s="9"/>
      <c r="R6" s="9"/>
    </row>
    <row r="7" spans="2:18" ht="16.2" thickBot="1" x14ac:dyDescent="0.35">
      <c r="B7" s="35"/>
      <c r="C7" s="8" t="s">
        <v>1</v>
      </c>
      <c r="D7" s="9"/>
      <c r="E7" s="9"/>
      <c r="F7" s="9"/>
      <c r="G7" s="9"/>
      <c r="H7" s="9"/>
      <c r="I7" s="26"/>
      <c r="J7" s="9"/>
      <c r="K7" s="9"/>
      <c r="L7" s="9"/>
      <c r="M7" s="9"/>
      <c r="N7" s="9"/>
      <c r="O7" s="26"/>
      <c r="P7" s="9"/>
      <c r="Q7" s="9"/>
      <c r="R7" s="9"/>
    </row>
    <row r="8" spans="2:18" ht="15" thickBot="1" x14ac:dyDescent="0.35">
      <c r="B8" s="35"/>
      <c r="C8" s="21"/>
      <c r="D8" s="9"/>
      <c r="E8" s="9"/>
      <c r="F8" s="9"/>
      <c r="G8" s="9"/>
      <c r="H8" s="9"/>
      <c r="I8" s="26"/>
      <c r="J8" s="9"/>
      <c r="K8" s="9"/>
      <c r="L8" s="9"/>
      <c r="M8" s="9"/>
      <c r="N8" s="9"/>
      <c r="O8" s="26"/>
      <c r="P8" s="9"/>
      <c r="Q8" s="9"/>
      <c r="R8" s="9"/>
    </row>
    <row r="9" spans="2:18" ht="18.600000000000001" thickBot="1" x14ac:dyDescent="0.4">
      <c r="B9" s="35"/>
      <c r="C9" s="11" t="s">
        <v>2</v>
      </c>
      <c r="D9" s="33"/>
      <c r="E9" s="33"/>
      <c r="F9" s="33"/>
      <c r="G9" s="33"/>
      <c r="H9" s="33"/>
      <c r="I9" s="33"/>
      <c r="J9" s="33"/>
      <c r="K9" s="33"/>
      <c r="L9" s="33"/>
      <c r="M9" s="33"/>
      <c r="N9" s="33"/>
      <c r="O9" s="33"/>
      <c r="P9" s="33"/>
      <c r="Q9" s="33"/>
      <c r="R9" s="33"/>
    </row>
    <row r="10" spans="2:18" ht="16.2" thickBot="1" x14ac:dyDescent="0.35">
      <c r="B10" s="35"/>
      <c r="C10" s="8" t="s">
        <v>10</v>
      </c>
      <c r="D10" s="9"/>
      <c r="E10" s="9">
        <v>178</v>
      </c>
      <c r="F10" s="9">
        <v>67.64</v>
      </c>
      <c r="G10" s="9"/>
      <c r="H10" s="9">
        <f>227-178</f>
        <v>49</v>
      </c>
      <c r="I10" s="26">
        <v>14.7</v>
      </c>
      <c r="J10" s="9"/>
      <c r="K10" s="9">
        <v>90</v>
      </c>
      <c r="L10" s="23">
        <v>18</v>
      </c>
      <c r="M10" s="9"/>
      <c r="N10" s="9">
        <v>10</v>
      </c>
      <c r="O10" s="26">
        <v>4</v>
      </c>
      <c r="P10" s="9"/>
      <c r="Q10" s="9">
        <v>77</v>
      </c>
      <c r="R10" s="9">
        <v>6</v>
      </c>
    </row>
    <row r="11" spans="2:18" ht="16.2" thickBot="1" x14ac:dyDescent="0.35">
      <c r="B11" s="35"/>
      <c r="C11" s="8" t="s">
        <v>1</v>
      </c>
      <c r="D11" s="9"/>
      <c r="E11" s="9"/>
      <c r="F11" s="9"/>
      <c r="G11" s="9"/>
      <c r="H11" s="9"/>
      <c r="I11" s="26"/>
      <c r="J11" s="9"/>
      <c r="K11" s="9"/>
      <c r="L11" s="9"/>
      <c r="M11" s="9"/>
      <c r="N11" s="9"/>
      <c r="O11" s="26"/>
      <c r="P11" s="9"/>
      <c r="R11" s="9"/>
    </row>
    <row r="12" spans="2:18" ht="18.600000000000001" thickBot="1" x14ac:dyDescent="0.35">
      <c r="B12" s="20"/>
      <c r="C12" s="8"/>
      <c r="D12" s="9"/>
      <c r="E12" s="9"/>
      <c r="F12" s="9"/>
      <c r="G12" s="9"/>
      <c r="H12" s="9"/>
      <c r="I12" s="26"/>
      <c r="J12" s="9"/>
      <c r="K12" s="9"/>
      <c r="L12" s="9"/>
      <c r="M12" s="9"/>
      <c r="N12" s="9"/>
      <c r="O12" s="26"/>
      <c r="P12" s="9"/>
      <c r="Q12" s="9"/>
      <c r="R12" s="9"/>
    </row>
    <row r="13" spans="2:18" ht="18.600000000000001" thickBot="1" x14ac:dyDescent="0.35">
      <c r="B13" s="20"/>
      <c r="C13" s="8"/>
      <c r="D13" s="9"/>
      <c r="E13" s="9"/>
      <c r="F13" s="9"/>
      <c r="G13" s="9"/>
      <c r="H13" s="9"/>
      <c r="I13" s="26"/>
      <c r="J13" s="9"/>
      <c r="K13" s="9"/>
      <c r="L13" s="9"/>
      <c r="M13" s="9"/>
      <c r="N13" s="9"/>
      <c r="O13" s="26"/>
      <c r="P13" s="9"/>
      <c r="Q13" s="9"/>
      <c r="R13" s="9"/>
    </row>
    <row r="14" spans="2:18" ht="15" thickBot="1" x14ac:dyDescent="0.35">
      <c r="B14" s="34"/>
      <c r="C14" s="34"/>
      <c r="D14" s="34"/>
      <c r="E14" s="34"/>
      <c r="F14" s="34"/>
      <c r="G14" s="34"/>
      <c r="H14" s="34"/>
      <c r="I14" s="34"/>
      <c r="J14" s="34"/>
      <c r="K14" s="34"/>
      <c r="L14" s="34"/>
      <c r="M14" s="34"/>
      <c r="N14" s="34"/>
      <c r="O14" s="34"/>
      <c r="P14" s="34"/>
      <c r="Q14" s="34"/>
      <c r="R14" s="34"/>
    </row>
    <row r="15" spans="2:18" ht="15" thickBot="1" x14ac:dyDescent="0.35">
      <c r="B15" s="34"/>
      <c r="C15" s="34"/>
      <c r="D15" s="34"/>
      <c r="E15" s="34"/>
      <c r="F15" s="34"/>
      <c r="G15" s="34"/>
      <c r="H15" s="34"/>
      <c r="I15" s="34"/>
      <c r="J15" s="34"/>
      <c r="K15" s="34"/>
      <c r="L15" s="34"/>
      <c r="M15" s="34"/>
      <c r="N15" s="34"/>
      <c r="O15" s="34"/>
      <c r="P15" s="34"/>
      <c r="Q15" s="34"/>
      <c r="R15" s="34"/>
    </row>
    <row r="16" spans="2:18" ht="18.600000000000001" customHeight="1" thickBot="1" x14ac:dyDescent="0.4">
      <c r="B16" s="37" t="s">
        <v>12</v>
      </c>
      <c r="C16" s="7" t="s">
        <v>0</v>
      </c>
      <c r="D16" s="33"/>
      <c r="E16" s="33"/>
      <c r="F16" s="33"/>
      <c r="G16" s="33"/>
      <c r="H16" s="33"/>
      <c r="I16" s="33"/>
      <c r="J16" s="33"/>
      <c r="K16" s="33"/>
      <c r="L16" s="33"/>
      <c r="M16" s="33"/>
      <c r="N16" s="33"/>
      <c r="O16" s="33"/>
      <c r="P16" s="33"/>
      <c r="Q16" s="33"/>
      <c r="R16" s="33"/>
    </row>
    <row r="17" spans="2:18" ht="16.2" customHeight="1" thickBot="1" x14ac:dyDescent="0.35">
      <c r="B17" s="38"/>
      <c r="C17" s="8" t="s">
        <v>10</v>
      </c>
      <c r="D17" s="9"/>
      <c r="E17" s="9">
        <v>3.49</v>
      </c>
      <c r="F17" s="24">
        <f>E17*38%</f>
        <v>1.3262</v>
      </c>
      <c r="G17" s="9"/>
      <c r="H17" s="9">
        <v>0.98</v>
      </c>
      <c r="I17" s="26">
        <v>0.28999999999999998</v>
      </c>
      <c r="J17" s="9"/>
      <c r="K17" s="9">
        <v>0.57999999999999996</v>
      </c>
      <c r="L17" s="9">
        <v>0.11</v>
      </c>
      <c r="M17" s="9"/>
      <c r="N17" s="9">
        <v>1</v>
      </c>
      <c r="O17" s="26">
        <v>0.4</v>
      </c>
      <c r="P17" s="9"/>
      <c r="Q17" s="9"/>
      <c r="R17" s="9"/>
    </row>
    <row r="18" spans="2:18" ht="16.2" customHeight="1" thickBot="1" x14ac:dyDescent="0.35">
      <c r="B18" s="38"/>
      <c r="C18" s="8" t="s">
        <v>1</v>
      </c>
      <c r="D18" s="9"/>
      <c r="E18" s="9"/>
      <c r="F18" s="9"/>
      <c r="G18" s="9"/>
      <c r="H18" s="9"/>
      <c r="I18" s="26"/>
      <c r="J18" s="9"/>
      <c r="K18" s="9"/>
      <c r="L18" s="9"/>
      <c r="M18" s="9"/>
      <c r="N18" s="9"/>
      <c r="O18" s="26"/>
      <c r="P18" s="9"/>
      <c r="Q18" s="9"/>
      <c r="R18" s="9"/>
    </row>
    <row r="19" spans="2:18" ht="16.2" customHeight="1" thickBot="1" x14ac:dyDescent="0.35">
      <c r="B19" s="38"/>
      <c r="C19" s="8" t="s">
        <v>17</v>
      </c>
      <c r="D19" s="9"/>
      <c r="E19" s="9"/>
      <c r="F19" s="9"/>
      <c r="G19" s="9"/>
      <c r="H19" s="9"/>
      <c r="I19" s="26"/>
      <c r="J19" s="9"/>
      <c r="K19" s="9"/>
      <c r="L19" s="9"/>
      <c r="M19" s="9"/>
      <c r="N19" s="9"/>
      <c r="O19" s="26"/>
      <c r="P19" s="9"/>
      <c r="Q19" s="9"/>
      <c r="R19" s="9"/>
    </row>
    <row r="20" spans="2:18" ht="15" customHeight="1" thickBot="1" x14ac:dyDescent="0.35">
      <c r="B20" s="38"/>
      <c r="C20" s="36"/>
      <c r="D20" s="36"/>
      <c r="E20" s="36"/>
      <c r="F20" s="36"/>
      <c r="G20" s="36"/>
      <c r="H20" s="36"/>
      <c r="I20" s="36"/>
      <c r="J20" s="36"/>
      <c r="K20" s="36"/>
      <c r="L20" s="36"/>
      <c r="M20" s="36"/>
      <c r="N20" s="36"/>
      <c r="O20" s="36"/>
      <c r="P20" s="36"/>
      <c r="Q20" s="36"/>
      <c r="R20" s="36"/>
    </row>
    <row r="21" spans="2:18" ht="18.600000000000001" thickBot="1" x14ac:dyDescent="0.4">
      <c r="B21" s="38"/>
      <c r="C21" s="11" t="s">
        <v>2</v>
      </c>
      <c r="D21" s="33"/>
      <c r="E21" s="33"/>
      <c r="F21" s="33"/>
      <c r="G21" s="33"/>
      <c r="H21" s="33"/>
      <c r="I21" s="33"/>
      <c r="J21" s="33"/>
      <c r="K21" s="33"/>
      <c r="L21" s="33"/>
      <c r="M21" s="33"/>
      <c r="N21" s="33"/>
      <c r="O21" s="33"/>
      <c r="P21" s="33"/>
      <c r="Q21" s="33"/>
      <c r="R21" s="33"/>
    </row>
    <row r="22" spans="2:18" ht="16.2" customHeight="1" thickBot="1" x14ac:dyDescent="0.35">
      <c r="B22" s="38"/>
      <c r="C22" s="8" t="s">
        <v>10</v>
      </c>
      <c r="D22" s="9"/>
      <c r="E22" s="9">
        <v>3.51</v>
      </c>
      <c r="F22" s="24">
        <f>E22*38%</f>
        <v>1.3337999999999999</v>
      </c>
      <c r="G22" s="9"/>
      <c r="H22" s="9">
        <v>0.99</v>
      </c>
      <c r="I22" s="26">
        <v>0.28999999999999998</v>
      </c>
      <c r="J22" s="9"/>
      <c r="K22" s="9">
        <v>0.7</v>
      </c>
      <c r="L22" s="9">
        <v>0.14000000000000001</v>
      </c>
      <c r="M22" s="9"/>
      <c r="N22" s="15">
        <f>1060000/1000000</f>
        <v>1.06</v>
      </c>
      <c r="O22" s="29">
        <f>N22*40%</f>
        <v>0.42400000000000004</v>
      </c>
      <c r="P22" s="9"/>
      <c r="Q22" s="9"/>
      <c r="R22" s="9"/>
    </row>
    <row r="23" spans="2:18" ht="16.2" customHeight="1" thickBot="1" x14ac:dyDescent="0.35">
      <c r="B23" s="39"/>
      <c r="C23" s="8" t="s">
        <v>1</v>
      </c>
      <c r="D23" s="9"/>
      <c r="E23" s="9"/>
      <c r="F23" s="9"/>
      <c r="G23" s="9"/>
      <c r="H23" s="23"/>
      <c r="I23" s="26"/>
      <c r="J23" s="9"/>
      <c r="K23" s="9"/>
      <c r="L23" s="9"/>
      <c r="M23" s="9"/>
      <c r="N23" s="9"/>
      <c r="O23" s="26"/>
      <c r="P23" s="9"/>
      <c r="Q23" s="9"/>
      <c r="R23" s="9"/>
    </row>
    <row r="24" spans="2:18" ht="16.2" customHeight="1" x14ac:dyDescent="0.3">
      <c r="B24" s="16"/>
      <c r="C24" s="17" t="s">
        <v>17</v>
      </c>
      <c r="D24" s="18"/>
      <c r="E24" s="18"/>
      <c r="F24" s="18"/>
      <c r="G24" s="18"/>
      <c r="H24" s="18"/>
      <c r="I24" s="27"/>
      <c r="J24" s="18"/>
      <c r="K24" s="18"/>
      <c r="L24" s="18"/>
      <c r="M24" s="18"/>
      <c r="N24" s="18"/>
      <c r="O24" s="27"/>
      <c r="P24" s="18"/>
      <c r="Q24" s="18"/>
      <c r="R24" s="18"/>
    </row>
    <row r="25" spans="2:18" x14ac:dyDescent="0.3">
      <c r="C25" s="31"/>
      <c r="D25" s="31"/>
      <c r="E25" s="31"/>
      <c r="F25" s="31"/>
      <c r="G25" s="31"/>
      <c r="H25" s="31"/>
      <c r="I25" s="31"/>
      <c r="J25" s="31"/>
      <c r="K25" s="31"/>
      <c r="L25" s="31"/>
      <c r="M25" s="31"/>
      <c r="N25" s="31"/>
      <c r="O25" s="31"/>
      <c r="P25" s="31"/>
      <c r="Q25" s="31"/>
      <c r="R25" s="31"/>
    </row>
  </sheetData>
  <mergeCells count="19">
    <mergeCell ref="E3:F3"/>
    <mergeCell ref="H3:I3"/>
    <mergeCell ref="K3:L3"/>
    <mergeCell ref="N3:O3"/>
    <mergeCell ref="Q3:R3"/>
    <mergeCell ref="E2:F2"/>
    <mergeCell ref="H2:I2"/>
    <mergeCell ref="K2:L2"/>
    <mergeCell ref="N2:O2"/>
    <mergeCell ref="Q2:R2"/>
    <mergeCell ref="C25:R25"/>
    <mergeCell ref="B5:B11"/>
    <mergeCell ref="D5:R5"/>
    <mergeCell ref="D9:R9"/>
    <mergeCell ref="B14:R15"/>
    <mergeCell ref="B16:B23"/>
    <mergeCell ref="D16:R16"/>
    <mergeCell ref="C20:R20"/>
    <mergeCell ref="D21:R2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10D9-2012-4B59-9320-4C86B45424B6}">
  <dimension ref="C2:J11"/>
  <sheetViews>
    <sheetView workbookViewId="0">
      <selection activeCell="F7" sqref="F7"/>
    </sheetView>
  </sheetViews>
  <sheetFormatPr defaultRowHeight="14.4" x14ac:dyDescent="0.3"/>
  <cols>
    <col min="3" max="3" width="49" bestFit="1" customWidth="1"/>
  </cols>
  <sheetData>
    <row r="2" spans="3:10" x14ac:dyDescent="0.3">
      <c r="C2" s="2"/>
    </row>
    <row r="3" spans="3:10" x14ac:dyDescent="0.3">
      <c r="C3" t="s">
        <v>13</v>
      </c>
      <c r="D3" s="2">
        <v>2019</v>
      </c>
      <c r="E3" s="2">
        <v>2020</v>
      </c>
      <c r="F3" s="2">
        <v>2021</v>
      </c>
      <c r="G3" s="2">
        <v>2022</v>
      </c>
      <c r="H3" s="2">
        <v>2023</v>
      </c>
      <c r="I3" s="2">
        <v>2024</v>
      </c>
      <c r="J3" s="2">
        <v>2025</v>
      </c>
    </row>
    <row r="4" spans="3:10" s="1" customFormat="1" x14ac:dyDescent="0.3">
      <c r="C4" s="2" t="s">
        <v>14</v>
      </c>
      <c r="D4" s="12">
        <v>170</v>
      </c>
      <c r="E4" s="13">
        <f>D4+(D4*17%)</f>
        <v>198.9</v>
      </c>
      <c r="F4" s="14">
        <f t="shared" ref="F4:J4" si="0">E4+(E4*17%)</f>
        <v>232.71300000000002</v>
      </c>
      <c r="G4" s="13">
        <f t="shared" si="0"/>
        <v>272.27421000000004</v>
      </c>
      <c r="H4" s="13">
        <f t="shared" si="0"/>
        <v>318.56082570000007</v>
      </c>
      <c r="I4" s="13">
        <f t="shared" si="0"/>
        <v>372.71616606900011</v>
      </c>
      <c r="J4" s="13">
        <f t="shared" si="0"/>
        <v>436.07791430073013</v>
      </c>
    </row>
    <row r="5" spans="3:10" s="1" customFormat="1" x14ac:dyDescent="0.3">
      <c r="C5" s="1" t="s">
        <v>15</v>
      </c>
    </row>
    <row r="6" spans="3:10" x14ac:dyDescent="0.3">
      <c r="D6" s="4"/>
      <c r="E6" s="4"/>
    </row>
    <row r="8" spans="3:10" x14ac:dyDescent="0.3">
      <c r="D8" s="2"/>
      <c r="E8" s="2"/>
      <c r="F8" s="2"/>
    </row>
    <row r="11" spans="3:10" x14ac:dyDescent="0.3">
      <c r="C11" t="s">
        <v>16</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Base value validation</vt:lpstr>
      <vt:lpstr>Finalized numbers</vt:lpstr>
      <vt:lpstr>India Digital Economy projectio</vt:lpstr>
      <vt:lpstr>'Base value validation'!Print_Area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Nandish</dc:creator>
  <cp:lastModifiedBy>Nikhil  Nandish (KDEM)</cp:lastModifiedBy>
  <cp:lastPrinted>2022-11-21T10:30:51Z</cp:lastPrinted>
  <dcterms:created xsi:type="dcterms:W3CDTF">2015-06-05T18:17:20Z</dcterms:created>
  <dcterms:modified xsi:type="dcterms:W3CDTF">2022-11-28T11:06:54Z</dcterms:modified>
</cp:coreProperties>
</file>